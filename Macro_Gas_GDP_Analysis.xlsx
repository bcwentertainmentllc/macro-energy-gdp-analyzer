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_Code\Projects\Gas_GDP\"/>
    </mc:Choice>
  </mc:AlternateContent>
  <xr:revisionPtr revIDLastSave="0" documentId="13_ncr:1_{59108F96-0208-4044-B80E-F7F0C4777354}" xr6:coauthVersionLast="47" xr6:coauthVersionMax="47" xr10:uidLastSave="{00000000-0000-0000-0000-000000000000}"/>
  <bookViews>
    <workbookView xWindow="0" yWindow="240" windowWidth="23232" windowHeight="12672" activeTab="2" xr2:uid="{00000000-000D-0000-FFFF-FFFF00000000}"/>
  </bookViews>
  <sheets>
    <sheet name="Dashboard" sheetId="1" r:id="rId1"/>
    <sheet name="Correlation_Matrix" sheetId="2" r:id="rId2"/>
    <sheet name="Quarterly_Macro_Data" sheetId="3" r:id="rId3"/>
  </sheets>
  <calcPr calcId="181029"/>
</workbook>
</file>

<file path=xl/calcChain.xml><?xml version="1.0" encoding="utf-8"?>
<calcChain xmlns="http://schemas.openxmlformats.org/spreadsheetml/2006/main">
  <c r="T113" i="3" l="1"/>
  <c r="S113" i="3"/>
  <c r="R113" i="3"/>
  <c r="T112" i="3"/>
  <c r="S112" i="3"/>
  <c r="R112" i="3"/>
  <c r="T111" i="3"/>
  <c r="S111" i="3"/>
  <c r="R111" i="3"/>
  <c r="T110" i="3"/>
  <c r="S110" i="3"/>
  <c r="R110" i="3"/>
  <c r="T109" i="3"/>
  <c r="S109" i="3"/>
  <c r="R109" i="3"/>
  <c r="T108" i="3"/>
  <c r="S108" i="3"/>
  <c r="R108" i="3"/>
  <c r="T107" i="3"/>
  <c r="S107" i="3"/>
  <c r="R107" i="3"/>
  <c r="T106" i="3"/>
  <c r="S106" i="3"/>
  <c r="R106" i="3"/>
  <c r="T105" i="3"/>
  <c r="S105" i="3"/>
  <c r="R105" i="3"/>
  <c r="T104" i="3"/>
  <c r="S104" i="3"/>
  <c r="R104" i="3"/>
  <c r="T103" i="3"/>
  <c r="S103" i="3"/>
  <c r="R103" i="3"/>
  <c r="T102" i="3"/>
  <c r="S102" i="3"/>
  <c r="R102" i="3"/>
  <c r="T101" i="3"/>
  <c r="S101" i="3"/>
  <c r="R101" i="3"/>
  <c r="T100" i="3"/>
  <c r="S100" i="3"/>
  <c r="R100" i="3"/>
  <c r="T99" i="3"/>
  <c r="S99" i="3"/>
  <c r="R99" i="3"/>
  <c r="T98" i="3"/>
  <c r="S98" i="3"/>
  <c r="R98" i="3"/>
  <c r="T97" i="3"/>
  <c r="S97" i="3"/>
  <c r="R97" i="3"/>
  <c r="T96" i="3"/>
  <c r="S96" i="3"/>
  <c r="R96" i="3"/>
  <c r="T95" i="3"/>
  <c r="S95" i="3"/>
  <c r="R95" i="3"/>
  <c r="T94" i="3"/>
  <c r="S94" i="3"/>
  <c r="R94" i="3"/>
  <c r="T93" i="3"/>
  <c r="S93" i="3"/>
  <c r="R93" i="3"/>
  <c r="T92" i="3"/>
  <c r="S92" i="3"/>
  <c r="R92" i="3"/>
  <c r="T91" i="3"/>
  <c r="S91" i="3"/>
  <c r="R91" i="3"/>
  <c r="T90" i="3"/>
  <c r="S90" i="3"/>
  <c r="R90" i="3"/>
  <c r="T89" i="3"/>
  <c r="S89" i="3"/>
  <c r="R89" i="3"/>
  <c r="T88" i="3"/>
  <c r="S88" i="3"/>
  <c r="R88" i="3"/>
  <c r="T87" i="3"/>
  <c r="S87" i="3"/>
  <c r="R87" i="3"/>
  <c r="T86" i="3"/>
  <c r="S86" i="3"/>
  <c r="R86" i="3"/>
  <c r="T85" i="3"/>
  <c r="S85" i="3"/>
  <c r="R85" i="3"/>
  <c r="T84" i="3"/>
  <c r="S84" i="3"/>
  <c r="R84" i="3"/>
  <c r="T83" i="3"/>
  <c r="S83" i="3"/>
  <c r="R83" i="3"/>
  <c r="T82" i="3"/>
  <c r="S82" i="3"/>
  <c r="R82" i="3"/>
  <c r="T81" i="3"/>
  <c r="S81" i="3"/>
  <c r="R81" i="3"/>
  <c r="T80" i="3"/>
  <c r="S80" i="3"/>
  <c r="R80" i="3"/>
  <c r="T79" i="3"/>
  <c r="S79" i="3"/>
  <c r="R79" i="3"/>
  <c r="T78" i="3"/>
  <c r="S78" i="3"/>
  <c r="R78" i="3"/>
  <c r="T77" i="3"/>
  <c r="S77" i="3"/>
  <c r="R77" i="3"/>
  <c r="T76" i="3"/>
  <c r="S76" i="3"/>
  <c r="R76" i="3"/>
  <c r="T75" i="3"/>
  <c r="S75" i="3"/>
  <c r="R75" i="3"/>
  <c r="T74" i="3"/>
  <c r="S74" i="3"/>
  <c r="R74" i="3"/>
  <c r="T73" i="3"/>
  <c r="S73" i="3"/>
  <c r="R73" i="3"/>
  <c r="T72" i="3"/>
  <c r="S72" i="3"/>
  <c r="R72" i="3"/>
  <c r="T71" i="3"/>
  <c r="S71" i="3"/>
  <c r="R71" i="3"/>
  <c r="T70" i="3"/>
  <c r="S70" i="3"/>
  <c r="R70" i="3"/>
  <c r="T69" i="3"/>
  <c r="S69" i="3"/>
  <c r="R69" i="3"/>
  <c r="T68" i="3"/>
  <c r="S68" i="3"/>
  <c r="R68" i="3"/>
  <c r="T67" i="3"/>
  <c r="S67" i="3"/>
  <c r="R67" i="3"/>
  <c r="T66" i="3"/>
  <c r="S66" i="3"/>
  <c r="R66" i="3"/>
  <c r="T65" i="3"/>
  <c r="S65" i="3"/>
  <c r="R65" i="3"/>
  <c r="T64" i="3"/>
  <c r="S64" i="3"/>
  <c r="R64" i="3"/>
  <c r="T63" i="3"/>
  <c r="S63" i="3"/>
  <c r="R63" i="3"/>
  <c r="T62" i="3"/>
  <c r="S62" i="3"/>
  <c r="R62" i="3"/>
  <c r="T61" i="3"/>
  <c r="S61" i="3"/>
  <c r="R61" i="3"/>
  <c r="T60" i="3"/>
  <c r="S60" i="3"/>
  <c r="R60" i="3"/>
  <c r="T59" i="3"/>
  <c r="S59" i="3"/>
  <c r="R59" i="3"/>
  <c r="T58" i="3"/>
  <c r="S58" i="3"/>
  <c r="R58" i="3"/>
  <c r="T57" i="3"/>
  <c r="S57" i="3"/>
  <c r="R57" i="3"/>
  <c r="T56" i="3"/>
  <c r="S56" i="3"/>
  <c r="R56" i="3"/>
  <c r="T55" i="3"/>
  <c r="S55" i="3"/>
  <c r="R55" i="3"/>
  <c r="T54" i="3"/>
  <c r="S54" i="3"/>
  <c r="R54" i="3"/>
  <c r="T53" i="3"/>
  <c r="S53" i="3"/>
  <c r="R53" i="3"/>
  <c r="T52" i="3"/>
  <c r="S52" i="3"/>
  <c r="R52" i="3"/>
  <c r="T51" i="3"/>
  <c r="S51" i="3"/>
  <c r="R51" i="3"/>
  <c r="T50" i="3"/>
  <c r="S50" i="3"/>
  <c r="R50" i="3"/>
  <c r="T49" i="3"/>
  <c r="S49" i="3"/>
  <c r="R49" i="3"/>
  <c r="T48" i="3"/>
  <c r="S48" i="3"/>
  <c r="R48" i="3"/>
  <c r="T47" i="3"/>
  <c r="S47" i="3"/>
  <c r="R47" i="3"/>
  <c r="T46" i="3"/>
  <c r="S46" i="3"/>
  <c r="R46" i="3"/>
  <c r="T45" i="3"/>
  <c r="S45" i="3"/>
  <c r="R45" i="3"/>
  <c r="T44" i="3"/>
  <c r="S44" i="3"/>
  <c r="R44" i="3"/>
  <c r="T43" i="3"/>
  <c r="S43" i="3"/>
  <c r="R43" i="3"/>
  <c r="T42" i="3"/>
  <c r="S42" i="3"/>
  <c r="R42" i="3"/>
  <c r="T41" i="3"/>
  <c r="S41" i="3"/>
  <c r="R41" i="3"/>
  <c r="T40" i="3"/>
  <c r="S40" i="3"/>
  <c r="R40" i="3"/>
  <c r="T39" i="3"/>
  <c r="S39" i="3"/>
  <c r="R39" i="3"/>
  <c r="T38" i="3"/>
  <c r="S38" i="3"/>
  <c r="R38" i="3"/>
  <c r="T37" i="3"/>
  <c r="S37" i="3"/>
  <c r="R37" i="3"/>
  <c r="T36" i="3"/>
  <c r="S36" i="3"/>
  <c r="R36" i="3"/>
  <c r="T35" i="3"/>
  <c r="S35" i="3"/>
  <c r="R35" i="3"/>
  <c r="T34" i="3"/>
  <c r="S34" i="3"/>
  <c r="R34" i="3"/>
  <c r="T33" i="3"/>
  <c r="S33" i="3"/>
  <c r="R33" i="3"/>
  <c r="T32" i="3"/>
  <c r="S32" i="3"/>
  <c r="R32" i="3"/>
  <c r="T31" i="3"/>
  <c r="S31" i="3"/>
  <c r="R31" i="3"/>
  <c r="T30" i="3"/>
  <c r="S30" i="3"/>
  <c r="R30" i="3"/>
  <c r="T29" i="3"/>
  <c r="S29" i="3"/>
  <c r="R29" i="3"/>
  <c r="T28" i="3"/>
  <c r="S28" i="3"/>
  <c r="R28" i="3"/>
  <c r="T27" i="3"/>
  <c r="S27" i="3"/>
  <c r="R27" i="3"/>
  <c r="T26" i="3"/>
  <c r="S26" i="3"/>
  <c r="R26" i="3"/>
  <c r="T25" i="3"/>
  <c r="S25" i="3"/>
  <c r="R25" i="3"/>
  <c r="T24" i="3"/>
  <c r="S24" i="3"/>
  <c r="R24" i="3"/>
  <c r="T23" i="3"/>
  <c r="S23" i="3"/>
  <c r="R23" i="3"/>
  <c r="T22" i="3"/>
  <c r="S22" i="3"/>
  <c r="R22" i="3"/>
  <c r="T21" i="3"/>
  <c r="S21" i="3"/>
  <c r="R21" i="3"/>
  <c r="T20" i="3"/>
  <c r="S20" i="3"/>
  <c r="R20" i="3"/>
  <c r="T19" i="3"/>
  <c r="S19" i="3"/>
  <c r="R19" i="3"/>
  <c r="T18" i="3"/>
  <c r="S18" i="3"/>
  <c r="R18" i="3"/>
  <c r="T17" i="3"/>
  <c r="S17" i="3"/>
  <c r="R17" i="3"/>
  <c r="T16" i="3"/>
  <c r="S16" i="3"/>
  <c r="R16" i="3"/>
  <c r="T15" i="3"/>
  <c r="S15" i="3"/>
  <c r="R15" i="3"/>
  <c r="T14" i="3"/>
  <c r="S14" i="3"/>
  <c r="R14" i="3"/>
  <c r="T13" i="3"/>
  <c r="S13" i="3"/>
  <c r="R13" i="3"/>
  <c r="T12" i="3"/>
  <c r="S12" i="3"/>
  <c r="R12" i="3"/>
  <c r="T11" i="3"/>
  <c r="S11" i="3"/>
  <c r="R11" i="3"/>
  <c r="T10" i="3"/>
  <c r="S10" i="3"/>
  <c r="R10" i="3"/>
  <c r="T9" i="3"/>
  <c r="S9" i="3"/>
  <c r="R9" i="3"/>
  <c r="T8" i="3"/>
  <c r="S8" i="3"/>
  <c r="R8" i="3"/>
  <c r="T7" i="3"/>
  <c r="S7" i="3"/>
  <c r="R7" i="3"/>
  <c r="W5" i="3"/>
  <c r="V5" i="3"/>
  <c r="F4" i="3"/>
  <c r="F3" i="3"/>
  <c r="W109" i="3"/>
  <c r="W30" i="3"/>
  <c r="W26" i="3"/>
  <c r="W22" i="3"/>
  <c r="W18" i="3"/>
  <c r="W10" i="3"/>
  <c r="W101" i="3"/>
  <c r="W97" i="3"/>
  <c r="W89" i="3"/>
  <c r="W81" i="3"/>
  <c r="W69" i="3"/>
  <c r="W53" i="3"/>
  <c r="W49" i="3"/>
  <c r="V42" i="3"/>
  <c r="V38" i="3"/>
  <c r="V34" i="3"/>
  <c r="W29" i="3"/>
  <c r="V26" i="3"/>
  <c r="V22" i="3"/>
  <c r="V18" i="3"/>
  <c r="V14" i="3"/>
  <c r="W13" i="3"/>
  <c r="V10" i="3"/>
  <c r="W34" i="3"/>
  <c r="W14" i="3"/>
  <c r="W105" i="3"/>
  <c r="W93" i="3"/>
  <c r="W85" i="3"/>
  <c r="W77" i="3"/>
  <c r="W73" i="3"/>
  <c r="W65" i="3"/>
  <c r="W61" i="3"/>
  <c r="W57" i="3"/>
  <c r="W45" i="3"/>
  <c r="W41" i="3"/>
  <c r="W37" i="3"/>
  <c r="W33" i="3"/>
  <c r="V30" i="3"/>
  <c r="W25" i="3"/>
  <c r="W21" i="3"/>
  <c r="W17" i="3"/>
  <c r="W9" i="3"/>
  <c r="V110" i="3"/>
  <c r="W113" i="3"/>
  <c r="V46" i="3"/>
  <c r="V74" i="3"/>
  <c r="V102" i="3"/>
  <c r="V39" i="3"/>
  <c r="V47" i="3"/>
  <c r="V55" i="3"/>
  <c r="V63" i="3"/>
  <c r="V71" i="3"/>
  <c r="V79" i="3"/>
  <c r="V87" i="3"/>
  <c r="V95" i="3"/>
  <c r="V103" i="3"/>
  <c r="V111" i="3"/>
  <c r="V12" i="3"/>
  <c r="V20" i="3"/>
  <c r="V28" i="3"/>
  <c r="V36" i="3"/>
  <c r="V44" i="3"/>
  <c r="V52" i="3"/>
  <c r="V60" i="3"/>
  <c r="V68" i="3"/>
  <c r="V76" i="3"/>
  <c r="V84" i="3"/>
  <c r="V92" i="3"/>
  <c r="V100" i="3"/>
  <c r="V108" i="3"/>
  <c r="V54" i="3"/>
  <c r="V98" i="3"/>
  <c r="V15" i="3"/>
  <c r="W8" i="3"/>
  <c r="W16" i="3"/>
  <c r="W24" i="3"/>
  <c r="W32" i="3"/>
  <c r="W40" i="3"/>
  <c r="W48" i="3"/>
  <c r="W56" i="3"/>
  <c r="W64" i="3"/>
  <c r="W72" i="3"/>
  <c r="W80" i="3"/>
  <c r="W88" i="3"/>
  <c r="W96" i="3"/>
  <c r="W104" i="3"/>
  <c r="W112" i="3"/>
  <c r="W46" i="3"/>
  <c r="W86" i="3"/>
  <c r="W110" i="3"/>
  <c r="W19" i="3"/>
  <c r="W35" i="3"/>
  <c r="W51" i="3"/>
  <c r="W67" i="3"/>
  <c r="W99" i="3"/>
  <c r="V90" i="3"/>
  <c r="V13" i="3"/>
  <c r="V45" i="3"/>
  <c r="V69" i="3"/>
  <c r="V93" i="3"/>
  <c r="V58" i="3"/>
  <c r="V78" i="3"/>
  <c r="V31" i="3"/>
  <c r="W42" i="3"/>
  <c r="W50" i="3"/>
  <c r="W58" i="3"/>
  <c r="W66" i="3"/>
  <c r="W74" i="3"/>
  <c r="W82" i="3"/>
  <c r="W90" i="3"/>
  <c r="W98" i="3"/>
  <c r="W106" i="3"/>
  <c r="W7" i="3"/>
  <c r="W15" i="3"/>
  <c r="W23" i="3"/>
  <c r="W31" i="3"/>
  <c r="W39" i="3"/>
  <c r="W47" i="3"/>
  <c r="W55" i="3"/>
  <c r="W63" i="3"/>
  <c r="W71" i="3"/>
  <c r="W79" i="3"/>
  <c r="W87" i="3"/>
  <c r="W95" i="3"/>
  <c r="W103" i="3"/>
  <c r="W111" i="3"/>
  <c r="V70" i="3"/>
  <c r="V106" i="3"/>
  <c r="V19" i="3"/>
  <c r="V9" i="3"/>
  <c r="V17" i="3"/>
  <c r="V25" i="3"/>
  <c r="V33" i="3"/>
  <c r="V41" i="3"/>
  <c r="V49" i="3"/>
  <c r="V57" i="3"/>
  <c r="V65" i="3"/>
  <c r="V73" i="3"/>
  <c r="V81" i="3"/>
  <c r="V89" i="3"/>
  <c r="V97" i="3"/>
  <c r="V105" i="3"/>
  <c r="V113" i="3"/>
  <c r="W54" i="3"/>
  <c r="W78" i="3"/>
  <c r="W102" i="3"/>
  <c r="W11" i="3"/>
  <c r="W27" i="3"/>
  <c r="W59" i="3"/>
  <c r="W83" i="3"/>
  <c r="W107" i="3"/>
  <c r="V11" i="3"/>
  <c r="V21" i="3"/>
  <c r="V37" i="3"/>
  <c r="V61" i="3"/>
  <c r="V85" i="3"/>
  <c r="V109" i="3"/>
  <c r="V62" i="3"/>
  <c r="V86" i="3"/>
  <c r="V35" i="3"/>
  <c r="V43" i="3"/>
  <c r="V51" i="3"/>
  <c r="V59" i="3"/>
  <c r="V67" i="3"/>
  <c r="V75" i="3"/>
  <c r="V83" i="3"/>
  <c r="V91" i="3"/>
  <c r="V99" i="3"/>
  <c r="V107" i="3"/>
  <c r="V8" i="3"/>
  <c r="V16" i="3"/>
  <c r="V24" i="3"/>
  <c r="V32" i="3"/>
  <c r="V40" i="3"/>
  <c r="V48" i="3"/>
  <c r="V56" i="3"/>
  <c r="V64" i="3"/>
  <c r="V72" i="3"/>
  <c r="V80" i="3"/>
  <c r="V88" i="3"/>
  <c r="V96" i="3"/>
  <c r="V104" i="3"/>
  <c r="V112" i="3"/>
  <c r="V82" i="3"/>
  <c r="V7" i="3"/>
  <c r="V23" i="3"/>
  <c r="W12" i="3"/>
  <c r="W20" i="3"/>
  <c r="W28" i="3"/>
  <c r="W36" i="3"/>
  <c r="W44" i="3"/>
  <c r="W52" i="3"/>
  <c r="W60" i="3"/>
  <c r="W68" i="3"/>
  <c r="W76" i="3"/>
  <c r="W84" i="3"/>
  <c r="W92" i="3"/>
  <c r="W100" i="3"/>
  <c r="W108" i="3"/>
  <c r="V66" i="3"/>
  <c r="V94" i="3"/>
  <c r="W38" i="3"/>
  <c r="W62" i="3"/>
  <c r="W70" i="3"/>
  <c r="W94" i="3"/>
  <c r="W43" i="3"/>
  <c r="W75" i="3"/>
  <c r="W91" i="3"/>
  <c r="V50" i="3"/>
  <c r="V27" i="3"/>
  <c r="V29" i="3"/>
  <c r="V53" i="3"/>
  <c r="V77" i="3"/>
  <c r="V101" i="3"/>
</calcChain>
</file>

<file path=xl/sharedStrings.xml><?xml version="1.0" encoding="utf-8"?>
<sst xmlns="http://schemas.openxmlformats.org/spreadsheetml/2006/main" count="617" uniqueCount="331">
  <si>
    <t>Macroeconomic Transmission Analysis: Energy Volatility, Persistent Non-Core Price Pressures, and Monetary Policy Shifts Across Presidential Cycles</t>
  </si>
  <si>
    <t>Executive Macro Summary (Generated via Gemini):</t>
  </si>
  <si>
    <t>Analysis of the multi-decade quarterly macroeconomic data confirms a pronounced transmission mechanism from crude oil and retail fuel shocks into headline inflation, which subsequently drives aggressive central bank rate hikes and elevated 30-year mortgage yields. While commodity price surges (such as during the 2022 Russian invasion of Ukraine and the 2026 Middle East supply disruptions) swiftly elevate energy and transport-linked grocery CPI, wage-labor resilience and robust structural output have maintained positive Real GDP growth across successive administrations. However, structural rate persistence above 6% continues to dampen interest-rate-sensitive sectors while sticky consumer price levels pose lingering real-income friction.</t>
  </si>
  <si>
    <t>Key Multi-Factor Macro &amp; Statistical Correlation Insights:</t>
  </si>
  <si>
    <t>• Energy-to-CPI Pass-Through: Retail gasoline YoY exhibits a very high correlation with headline CPI YoY (r = 0.718) and WTI crude YoY (r = 0.927), acting as the primary initial catalyst for broad-based inflationary impulses.</t>
  </si>
  <si>
    <t>• Food Inflation Asymmetry: Grocery CPI demonstrates strong structural ratchet effects (r = 0.993 with Headline CPI level); once food prices absorb fuel, freight, and fertilizer cost spikes, grocery price levels rarely mean-revert even when crude prices decline.</t>
  </si>
  <si>
    <t>• Monetary and Mortgage Rate Dynamics: Policy rate tightening cycles triggered by energy-fueled inflation surges elevated 30-year mortgage rates from sub-3% lows in 2020-2021 to sustained 6.0%-7.3% levels, decoupling long-term borrowing costs from short-term commodity pullbacks.</t>
  </si>
  <si>
    <t>• Labor Market and Real Output Resilience: Despite sharp geopolitical and supply shocks (e.g., 2020 COVID shock, 2022 energy crisis, and 2025-2026 tariff/Middle East disruptions), unemployment has remained structurally tight (3.5%-4.5% post-2021), supporting Real GDP growth toward $24.3 trillion.</t>
  </si>
  <si>
    <t>Policy &amp; Inflation Transmission Breakdown:</t>
  </si>
  <si>
    <t>[2020-04-01] COVID-19 Lockdowns &amp; Historic OPEC+ Production Accord: Severe global demand destruction caused WTI crude to collapse to $27.97/bbl quarterly average (with spot dipping negative) and unemployment to spike to 13.0%, while Real GDP contracted by 7.4% YoY. Coordinated global production cuts stabilized the energy baseline, setting the stage for subsequent supply-side bottlenecks.</t>
  </si>
  <si>
    <t>[2022-04-01] Executive Order 14066: US Russian Energy Import Ban &amp; 180M Barrel SPR Release: The outbreak of war in Ukraine pushed WTI crude above $108/bbl and retail gasoline to record highs, driving headline CPI YoY to 8.60% and grocery inflation to 11.70%. The unprecedented 180M barrel Strategic Petroleum Reserve release helped cap runaway crude spot prices, but forced the Federal Reserve into rapid rate hikes, pushing mortgage rates past 5.2%.</t>
  </si>
  <si>
    <t>[2022-07-01] Inflation Reduction Act (IRA) of 2022 &amp; G7 Russian Oil Price Cap: Coordinated Western price caps and long-term energy transition funding coincided with the peak of food inflation (13.24% YoY) and mortgage rates escalating toward 6.68%. Real GDP growth stabilized around 2.35% YoY as consumer demand absorbed elevated borrowing costs.</t>
  </si>
  <si>
    <t>[2025-04-01] US Universal Tariff Policy &amp; Middle East Maritime Sanctions Re-Imposition: Comprehensive tariff restructuring and renewed maximum pressure sanctions created trade frictions, keeping headline CPI elevated near 2.46%-2.90% and mortgage rates pinned near 6.8%. Real GDP growth held resilient at 2.08% YoY while grocery CPI maintained an upward structural trend.</t>
  </si>
  <si>
    <t>[2026-04-01] Strait of Hormuz Blockade &amp; Emergency Strategic Oil Allocation: A major naval chokepoint disruption induced an acute commodity shock, driving WTI crude up 48.07% YoY to $95.76/bbl and retail gas to $4.21/gal. Headline inflation rebounded sharply to 3.80% YoY, prompting emergency SPR releases and keeping 30-year mortgage rates elevated at 6.41%.</t>
  </si>
  <si>
    <t>Macroeconomic Correlation Matrix Suite</t>
  </si>
  <si>
    <t>Pearson correlation coefficients calculated across historical quarterly FRED dataset (2000 - Present).</t>
  </si>
  <si>
    <t>1. Macro Price &amp; Metric Level Correlations (Co-Movement Over Time)</t>
  </si>
  <si>
    <t>Metric / Series</t>
  </si>
  <si>
    <t>WTI Crude ($/bbl)</t>
  </si>
  <si>
    <t>Retail Gas ($/gal)</t>
  </si>
  <si>
    <t>Real GDP ($B)</t>
  </si>
  <si>
    <t>Grocery CPI</t>
  </si>
  <si>
    <t>Headline CPI</t>
  </si>
  <si>
    <t>30-Yr Mortgage Rate (%)</t>
  </si>
  <si>
    <t>Unemployment Rate (%)</t>
  </si>
  <si>
    <t>2. YoY % Growth &amp; Inflation Rate Correlations (Cyclical Transmission)</t>
  </si>
  <si>
    <t>YoY % Metric</t>
  </si>
  <si>
    <t>WTI YoY %</t>
  </si>
  <si>
    <t>Retail Gas YoY %</t>
  </si>
  <si>
    <t>GDP Growth YoY %</t>
  </si>
  <si>
    <t>Grocery YoY %</t>
  </si>
  <si>
    <t>CPI Headline YoY %</t>
  </si>
  <si>
    <t>Combo Box Items Source:</t>
  </si>
  <si>
    <t>Primary Axis</t>
  </si>
  <si>
    <t>Enable Events Toggle:</t>
  </si>
  <si>
    <t>Enable Policies Toggle:</t>
  </si>
  <si>
    <t>Secondary Axis</t>
  </si>
  <si>
    <t>Date</t>
  </si>
  <si>
    <t>Quarter</t>
  </si>
  <si>
    <t>Year</t>
  </si>
  <si>
    <t>Historical Event Marker</t>
  </si>
  <si>
    <t>Policy &amp; Legislative Marker</t>
  </si>
  <si>
    <t>Event Y-axis</t>
  </si>
  <si>
    <t>Events &amp; Policies</t>
  </si>
  <si>
    <t>GDP Delta %</t>
  </si>
  <si>
    <t>President</t>
  </si>
  <si>
    <t>01/01/2000</t>
  </si>
  <si>
    <t>2000-01-01 00:00:00</t>
  </si>
  <si>
    <t>OPEC Target Output Cuts / Post-Dot-Com Oil Demand Peak</t>
  </si>
  <si>
    <t>None</t>
  </si>
  <si>
    <t>Clinton</t>
  </si>
  <si>
    <t>04/01/2000</t>
  </si>
  <si>
    <t>2000-04-01 00:00:00</t>
  </si>
  <si>
    <t>Clinton Administration SPR Exchange Swap Directive</t>
  </si>
  <si>
    <t>07/01/2000</t>
  </si>
  <si>
    <t>2000-07-01 00:00:00</t>
  </si>
  <si>
    <t>10/01/2000</t>
  </si>
  <si>
    <t>2000-10-01 00:00:00</t>
  </si>
  <si>
    <t>01/01/2001</t>
  </si>
  <si>
    <t>2001-01-01 00:00:00</t>
  </si>
  <si>
    <t>Bush</t>
  </si>
  <si>
    <t>04/01/2001</t>
  </si>
  <si>
    <t>2001-04-01 00:00:00</t>
  </si>
  <si>
    <t>07/01/2001</t>
  </si>
  <si>
    <t>2001-07-01 00:00:00</t>
  </si>
  <si>
    <t>9/11 Terror Attacks / Global Jet Fuel &amp; Travel Demand Collapse</t>
  </si>
  <si>
    <t>10/01/2001</t>
  </si>
  <si>
    <t>2001-10-01 00:00:00</t>
  </si>
  <si>
    <t>US Patriot Act Passed / Critical Infrastructure Security Rules</t>
  </si>
  <si>
    <t>01/01/2002</t>
  </si>
  <si>
    <t>2002-01-01 00:00:00</t>
  </si>
  <si>
    <t>04/01/2002</t>
  </si>
  <si>
    <t>2002-04-01 00:00:00</t>
  </si>
  <si>
    <t>US Farm Security and Rural Investment Act (Biofuel Incentives)</t>
  </si>
  <si>
    <t>07/01/2002</t>
  </si>
  <si>
    <t>2002-07-01 00:00:00</t>
  </si>
  <si>
    <t>10/01/2002</t>
  </si>
  <si>
    <t>2002-10-01 00:00:00</t>
  </si>
  <si>
    <t>Venezuelan General Strike / PDVSA Oil Production Shutdown</t>
  </si>
  <si>
    <t>01/01/2003</t>
  </si>
  <si>
    <t>2003-01-01 00:00:00</t>
  </si>
  <si>
    <t>US Invades Iraq / Gulf War Supply Uncertainty</t>
  </si>
  <si>
    <t>04/01/2003</t>
  </si>
  <si>
    <t>2003-04-01 00:00:00</t>
  </si>
  <si>
    <t>07/01/2003</t>
  </si>
  <si>
    <t>2003-07-01 00:00:00</t>
  </si>
  <si>
    <t>10/01/2003</t>
  </si>
  <si>
    <t>2003-10-01 00:00:00</t>
  </si>
  <si>
    <t>US Federal Tax Credit Enhancements for Renewable Energy</t>
  </si>
  <si>
    <t>01/01/2004</t>
  </si>
  <si>
    <t>2004-01-01 00:00:00</t>
  </si>
  <si>
    <t>04/01/2004</t>
  </si>
  <si>
    <t>2004-04-01 00:00:00</t>
  </si>
  <si>
    <t>07/01/2004</t>
  </si>
  <si>
    <t>2004-07-01 00:00:00</t>
  </si>
  <si>
    <t>Rapid Chinese Industrial Expansion / Global Commodity Supercycle Peak</t>
  </si>
  <si>
    <t>10/01/2004</t>
  </si>
  <si>
    <t>2004-10-01 00:00:00</t>
  </si>
  <si>
    <t>American Jobs Creation Act of 2004 (Volumetric Ethanol Excise Tax Credit)</t>
  </si>
  <si>
    <t>01/01/2005</t>
  </si>
  <si>
    <t>2005-01-01 00:00:00</t>
  </si>
  <si>
    <t>04/01/2005</t>
  </si>
  <si>
    <t>2005-04-01 00:00:00</t>
  </si>
  <si>
    <t>07/01/2005</t>
  </si>
  <si>
    <t>2005-07-01 00:00:00</t>
  </si>
  <si>
    <t>Hurricane Katrina Damage / Gulf Coast Refining Outage</t>
  </si>
  <si>
    <t>Energy Policy Act of 2005 (Enacts Renewable Fuel Standard - RFS)</t>
  </si>
  <si>
    <t>10/01/2005</t>
  </si>
  <si>
    <t>2005-10-01 00:00:00</t>
  </si>
  <si>
    <t>01/01/2006</t>
  </si>
  <si>
    <t>2006-01-01 00:00:00</t>
  </si>
  <si>
    <t>04/01/2006</t>
  </si>
  <si>
    <t>2006-04-01 00:00:00</t>
  </si>
  <si>
    <t>07/01/2006</t>
  </si>
  <si>
    <t>2006-07-01 00:00:00</t>
  </si>
  <si>
    <t>Israel-Hezbollah War / Middle East Risk Premium Spike</t>
  </si>
  <si>
    <t>10/01/2006</t>
  </si>
  <si>
    <t>2006-10-01 00:00:00</t>
  </si>
  <si>
    <t>01/01/2007</t>
  </si>
  <si>
    <t>2007-01-01 00:00:00</t>
  </si>
  <si>
    <t>04/01/2007</t>
  </si>
  <si>
    <t>2007-04-01 00:00:00</t>
  </si>
  <si>
    <t>Subprime Mortgage Crisis Onset / Peak Speculative Inflow</t>
  </si>
  <si>
    <t>07/01/2007</t>
  </si>
  <si>
    <t>2007-07-01 00:00:00</t>
  </si>
  <si>
    <t>10/01/2007</t>
  </si>
  <si>
    <t>2007-10-01 00:00:00</t>
  </si>
  <si>
    <t>Energy Independence and Security Act of 2007 (CAFE Mileage Bump)</t>
  </si>
  <si>
    <t>01/01/2008</t>
  </si>
  <si>
    <t>2008-01-01 00:00:00</t>
  </si>
  <si>
    <t>04/01/2008</t>
  </si>
  <si>
    <t>2008-04-01 00:00:00</t>
  </si>
  <si>
    <t>07/01/2008</t>
  </si>
  <si>
    <t>2008-07-01 00:00:00</t>
  </si>
  <si>
    <t>WTI Crude Hits All-Time Peak ($147.27/bbl) / Commodity Bubble</t>
  </si>
  <si>
    <t>10/01/2008</t>
  </si>
  <si>
    <t>2008-10-01 00:00:00</t>
  </si>
  <si>
    <t>Lehman Collapse / Global Financial Crisis Crash</t>
  </si>
  <si>
    <t>Emergency Economic Stabilization Act of 2008</t>
  </si>
  <si>
    <t>01/01/2009</t>
  </si>
  <si>
    <t>2009-01-01 00:00:00</t>
  </si>
  <si>
    <t>OPEC Record Production Cuts / Global Recession Floor</t>
  </si>
  <si>
    <t>American Recovery and Reinvestment Act (ARRA $90B Green Energy Package)</t>
  </si>
  <si>
    <t>Obama</t>
  </si>
  <si>
    <t>04/01/2009</t>
  </si>
  <si>
    <t>2009-04-01 00:00:00</t>
  </si>
  <si>
    <t>07/01/2009</t>
  </si>
  <si>
    <t>2009-07-01 00:00:00</t>
  </si>
  <si>
    <t>10/01/2009</t>
  </si>
  <si>
    <t>2009-10-01 00:00:00</t>
  </si>
  <si>
    <t>01/01/2010</t>
  </si>
  <si>
    <t>2010-01-01 00:00:00</t>
  </si>
  <si>
    <t>04/01/2010</t>
  </si>
  <si>
    <t>2010-04-01 00:00:00</t>
  </si>
  <si>
    <t>Deepwater Horizon Oil Spill in Gulf of Mexico</t>
  </si>
  <si>
    <t>07/01/2010</t>
  </si>
  <si>
    <t>2010-07-01 00:00:00</t>
  </si>
  <si>
    <t>Dodd-Frank Wall Street Reform Act (Speculative Commodities Limits)</t>
  </si>
  <si>
    <t>10/01/2010</t>
  </si>
  <si>
    <t>2010-10-01 00:00:00</t>
  </si>
  <si>
    <t>01/01/2011</t>
  </si>
  <si>
    <t>2011-01-01 00:00:00</t>
  </si>
  <si>
    <t>Arab Spring Uprisings / Libyan Civil War Oil Outage</t>
  </si>
  <si>
    <t>US Imposes Comprehensive Iranian Sanctions (CISADA)</t>
  </si>
  <si>
    <t>04/01/2011</t>
  </si>
  <si>
    <t>2011-04-01 00:00:00</t>
  </si>
  <si>
    <t>07/01/2011</t>
  </si>
  <si>
    <t>2011-07-01 00:00:00</t>
  </si>
  <si>
    <t>10/01/2011</t>
  </si>
  <si>
    <t>2011-10-01 00:00:00</t>
  </si>
  <si>
    <t>01/01/2012</t>
  </si>
  <si>
    <t>2012-01-01 00:00:00</t>
  </si>
  <si>
    <t>04/01/2012</t>
  </si>
  <si>
    <t>2012-04-01 00:00:00</t>
  </si>
  <si>
    <t>European Sovereign Debt Crisis / Demand Slowdown</t>
  </si>
  <si>
    <t>07/01/2012</t>
  </si>
  <si>
    <t>2012-07-01 00:00:00</t>
  </si>
  <si>
    <t>Obama Administration 2017-2025 Model Year CAFE Standards Rule</t>
  </si>
  <si>
    <t>10/01/2012</t>
  </si>
  <si>
    <t>2012-10-01 00:00:00</t>
  </si>
  <si>
    <t>01/01/2013</t>
  </si>
  <si>
    <t>2013-01-01 00:00:00</t>
  </si>
  <si>
    <t>American Taxpayer Relief Act of 2012 (Energy Tax Incentives)</t>
  </si>
  <si>
    <t>04/01/2013</t>
  </si>
  <si>
    <t>2013-04-01 00:00:00</t>
  </si>
  <si>
    <t>07/01/2013</t>
  </si>
  <si>
    <t>2013-07-01 00:00:00</t>
  </si>
  <si>
    <t>Syrian Civil War Escalation / Chemical Weapon Crisis</t>
  </si>
  <si>
    <t>10/01/2013</t>
  </si>
  <si>
    <t>2013-10-01 00:00:00</t>
  </si>
  <si>
    <t>01/01/2014</t>
  </si>
  <si>
    <t>2014-01-01 00:00:00</t>
  </si>
  <si>
    <t>04/01/2014</t>
  </si>
  <si>
    <t>2014-04-01 00:00:00</t>
  </si>
  <si>
    <t>07/01/2014</t>
  </si>
  <si>
    <t>2014-07-01 00:00:00</t>
  </si>
  <si>
    <t>10/01/2014</t>
  </si>
  <si>
    <t>2014-10-01 00:00:00</t>
  </si>
  <si>
    <t>OPEC Price War / US Shale Boom Market Share Battle</t>
  </si>
  <si>
    <t>01/01/2015</t>
  </si>
  <si>
    <t>2015-01-01 00:00:00</t>
  </si>
  <si>
    <t>04/01/2015</t>
  </si>
  <si>
    <t>2015-04-01 00:00:00</t>
  </si>
  <si>
    <t>07/01/2015</t>
  </si>
  <si>
    <t>2015-07-01 00:00:00</t>
  </si>
  <si>
    <t>Global Oil Glut / WTI Drops Below $40/bbl</t>
  </si>
  <si>
    <t>10/01/2015</t>
  </si>
  <si>
    <t>2015-10-01 00:00:00</t>
  </si>
  <si>
    <t>Consolidated Appropriations Act: Lifts 40-Year US Crude Export Ban</t>
  </si>
  <si>
    <t>01/01/2016</t>
  </si>
  <si>
    <t>2016-01-01 00:00:00</t>
  </si>
  <si>
    <t>WTI Crude Plunges to $26/bbl / US Shale Bankruptcy Wave</t>
  </si>
  <si>
    <t>04/01/2016</t>
  </si>
  <si>
    <t>2016-04-01 00:00:00</t>
  </si>
  <si>
    <t>Paris Climate Agreement Signed / Methane Emission Mandates</t>
  </si>
  <si>
    <t>07/01/2016</t>
  </si>
  <si>
    <t>2016-07-01 00:00:00</t>
  </si>
  <si>
    <t>10/01/2016</t>
  </si>
  <si>
    <t>2016-10-01 00:00:00</t>
  </si>
  <si>
    <t>Formation of OPEC+ Alliance (OPEC &amp; Russia Agreement)</t>
  </si>
  <si>
    <t>01/01/2017</t>
  </si>
  <si>
    <t>2017-01-01 00:00:00</t>
  </si>
  <si>
    <t>Trump</t>
  </si>
  <si>
    <t>04/01/2017</t>
  </si>
  <si>
    <t>2017-04-01 00:00:00</t>
  </si>
  <si>
    <t>07/01/2017</t>
  </si>
  <si>
    <t>2017-07-01 00:00:00</t>
  </si>
  <si>
    <t>Hurricane Harvey Shuts Down Houston Refining Hub</t>
  </si>
  <si>
    <t>10/01/2017</t>
  </si>
  <si>
    <t>2017-10-01 00:00:00</t>
  </si>
  <si>
    <t>01/01/2018</t>
  </si>
  <si>
    <t>2018-01-01 00:00:00</t>
  </si>
  <si>
    <t>04/01/2018</t>
  </si>
  <si>
    <t>2018-04-01 00:00:00</t>
  </si>
  <si>
    <t>US JCPOA Withdrawal / Maximum Pressure Sanctions on Iran</t>
  </si>
  <si>
    <t>07/01/2018</t>
  </si>
  <si>
    <t>2018-07-01 00:00:00</t>
  </si>
  <si>
    <t>US-China Trade War Escalation / Global Demand Shock</t>
  </si>
  <si>
    <t>10/01/2018</t>
  </si>
  <si>
    <t>2018-10-01 00:00:00</t>
  </si>
  <si>
    <t>01/01/2019</t>
  </si>
  <si>
    <t>2019-01-01 00:00:00</t>
  </si>
  <si>
    <t>US Imposes Sanctions Targeting Venezuelan State Oil (PDVSA)</t>
  </si>
  <si>
    <t>04/01/2019</t>
  </si>
  <si>
    <t>2019-04-01 00:00:00</t>
  </si>
  <si>
    <t>07/01/2019</t>
  </si>
  <si>
    <t>2019-07-01 00:00:00</t>
  </si>
  <si>
    <t>Drone Attack on Saudi Aramco Abqaiq Processing Facility</t>
  </si>
  <si>
    <t>10/01/2019</t>
  </si>
  <si>
    <t>2019-10-01 00:00:00</t>
  </si>
  <si>
    <t>01/01/2020</t>
  </si>
  <si>
    <t>2020-01-01 00:00:00</t>
  </si>
  <si>
    <t>COVID-19 Global Outbreak / International Travel Halts</t>
  </si>
  <si>
    <t>04/01/2020</t>
  </si>
  <si>
    <t>2020-04-01 00:00:00</t>
  </si>
  <si>
    <t>COVID-19 Lockdowns / WTI Futures Dip Negative (-$37/bbl)</t>
  </si>
  <si>
    <t>Historic OPEC+ Production Accord Negotiated via US Leadership</t>
  </si>
  <si>
    <t>07/01/2020</t>
  </si>
  <si>
    <t>2020-07-01 00:00:00</t>
  </si>
  <si>
    <t>10/01/2020</t>
  </si>
  <si>
    <t>2020-10-01 00:00:00</t>
  </si>
  <si>
    <t>01/01/2021</t>
  </si>
  <si>
    <t>2021-01-01 00:00:00</t>
  </si>
  <si>
    <t>Texas Winter Storm Uri Freeze / Refineries Freeze</t>
  </si>
  <si>
    <t>Executive Order 13990: Revokes Keystone XL Pipeline Permit</t>
  </si>
  <si>
    <t>Biden</t>
  </si>
  <si>
    <t>04/01/2021</t>
  </si>
  <si>
    <t>2021-04-01 00:00:00</t>
  </si>
  <si>
    <t>Colonial Pipeline Ransomware Cyberattack</t>
  </si>
  <si>
    <t>07/01/2021</t>
  </si>
  <si>
    <t>2021-07-01 00:00:00</t>
  </si>
  <si>
    <t>10/01/2021</t>
  </si>
  <si>
    <t>2021-10-01 00:00:00</t>
  </si>
  <si>
    <t>01/01/2022</t>
  </si>
  <si>
    <t>2022-01-01 00:00:00</t>
  </si>
  <si>
    <t>Russia Invades Ukraine / Global Energy Supply Panic</t>
  </si>
  <si>
    <t>EO 14066: US Bans All Russian Energy Imports</t>
  </si>
  <si>
    <t>04/01/2022</t>
  </si>
  <si>
    <t>2022-04-01 00:00:00</t>
  </si>
  <si>
    <t>European Gas Crisis &amp; Nord Stream Pipeline Supply Cuts</t>
  </si>
  <si>
    <t>EO: Record 180M Barrel Strategic Petroleum Reserve (SPR) Release</t>
  </si>
  <si>
    <t>07/01/2022</t>
  </si>
  <si>
    <t>2022-07-01 00:00:00</t>
  </si>
  <si>
    <t>US Retail Gas Reaches Record $5.01/gal Peak / Food Inflation Spikes</t>
  </si>
  <si>
    <t>Inflation Reduction Act (IRA) of 2022 Signed Into Law</t>
  </si>
  <si>
    <t>10/01/2022</t>
  </si>
  <si>
    <t>2022-10-01 00:00:00</t>
  </si>
  <si>
    <t>OPEC+ Cuts Production by 2M Barrels/Day</t>
  </si>
  <si>
    <t>G7, EU, &amp; Australia Implement $60 Russian Oil Price Cap</t>
  </si>
  <si>
    <t>01/01/2023</t>
  </si>
  <si>
    <t>2023-01-01 00:00:00</t>
  </si>
  <si>
    <t>04/01/2023</t>
  </si>
  <si>
    <t>2023-04-01 00:00:00</t>
  </si>
  <si>
    <t>07/01/2023</t>
  </si>
  <si>
    <t>2023-07-01 00:00:00</t>
  </si>
  <si>
    <t>10/01/2023</t>
  </si>
  <si>
    <t>2023-10-01 00:00:00</t>
  </si>
  <si>
    <t>Middle East Regional Conflict Escalation / Red Sea Risks</t>
  </si>
  <si>
    <t>01/01/2024</t>
  </si>
  <si>
    <t>2024-01-01 00:00:00</t>
  </si>
  <si>
    <t>Red Sea Shipping Disruptions &amp; Houthi Maritime Attacks</t>
  </si>
  <si>
    <t>Department of Energy Temporary Freeze on LNG Export Approvals</t>
  </si>
  <si>
    <t>04/01/2024</t>
  </si>
  <si>
    <t>2024-04-01 00:00:00</t>
  </si>
  <si>
    <t>07/01/2024</t>
  </si>
  <si>
    <t>2024-07-01 00:00:00</t>
  </si>
  <si>
    <t>Global EV Adoption Benchmarks / Peak Internal Combustion Growth</t>
  </si>
  <si>
    <t>10/01/2024</t>
  </si>
  <si>
    <t>2024-10-01 00:00:00</t>
  </si>
  <si>
    <t>01/01/2025</t>
  </si>
  <si>
    <t>2025-01-01 00:00:00</t>
  </si>
  <si>
    <t>Middle East Maritime Chokepoint Escalation</t>
  </si>
  <si>
    <t>EO: Re-imposition of Maximum Pressure Sanctions on Iran</t>
  </si>
  <si>
    <t>04/01/2025</t>
  </si>
  <si>
    <t>2025-04-01 00:00:00</t>
  </si>
  <si>
    <t>US Universal Tariff Implementation &amp; Trade Policy Shifts</t>
  </si>
  <si>
    <t>07/01/2025</t>
  </si>
  <si>
    <t>2025-07-01 00:00:00</t>
  </si>
  <si>
    <t>Strait of Hormuz Naval Standoff Threats</t>
  </si>
  <si>
    <t>10/01/2025</t>
  </si>
  <si>
    <t>2025-10-01 00:00:00</t>
  </si>
  <si>
    <t>01/01/2026</t>
  </si>
  <si>
    <t>2026-01-01 00:00:00</t>
  </si>
  <si>
    <t>US-Iran Military Conflicts / Strait of Hormuz Closure Threats</t>
  </si>
  <si>
    <t>US Maritime Escort Mandate &amp; Energy Emergency Authorization</t>
  </si>
  <si>
    <t>04/01/2026</t>
  </si>
  <si>
    <t>2026-04-01 00:00:00</t>
  </si>
  <si>
    <t>Strait of Hormuz Blockade / Global Crude Supply Shock</t>
  </si>
  <si>
    <t>Emergency SPR Drawdown Order &amp; Strategic Oil Allocation</t>
  </si>
  <si>
    <t>07/01/2026</t>
  </si>
  <si>
    <t>2026-07-01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</si>
</sst>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</font>
    <font>
      <i/>
      <sz val="11"/>
      <color rgb="FF595959"/>
      <name val="Calibri"/>
    </font>
    <font>
      <b/>
      <sz val="14"/>
      <color rgb="FF1F497D"/>
      <name val="Calibri"/>
    </font>
    <font>
      <i/>
      <sz val="10"/>
      <color rgb="FF595959"/>
      <name val="Calibri"/>
    </font>
    <font>
      <b/>
      <sz val="11"/>
      <color rgb="FF002060"/>
      <name val="Calibri"/>
    </font>
    <font>
      <b/>
      <sz val="10"/>
      <color rgb="FFFFFFFF"/>
      <name val="Calibri"/>
    </font>
    <font>
      <b/>
      <u/>
      <sz val="11"/>
      <name val="Calibri"/>
    </font>
    <font>
      <i/>
      <sz val="10"/>
      <name val="Calibri"/>
    </font>
    <font>
      <b/>
      <sz val="11"/>
      <name val="Calibri"/>
    </font>
    <font>
      <sz val="10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1" fillId="0" borderId="1" xfId="0" applyFont="1" applyBorder="1"/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roDataTable" displayName="MacroDataTable" ref="A6:W113">
  <autoFilter ref="A6:W113" xr:uid="{00000000-0009-0000-0100-000001000000}"/>
  <tableColumns count="23">
    <tableColumn id="1" xr3:uid="{00000000-0010-0000-0000-000001000000}" name="Date"/>
    <tableColumn id="2" xr3:uid="{00000000-0010-0000-0000-000002000000}" name="Quarter"/>
    <tableColumn id="3" xr3:uid="{00000000-0010-0000-0000-000003000000}" name="Year"/>
    <tableColumn id="4" xr3:uid="{00000000-0010-0000-0000-000004000000}" name="WTI Crude ($/bbl)"/>
    <tableColumn id="5" xr3:uid="{00000000-0010-0000-0000-000005000000}" name="Retail Gas ($/gal)"/>
    <tableColumn id="6" xr3:uid="{00000000-0010-0000-0000-000006000000}" name="Real GDP ($B)"/>
    <tableColumn id="7" xr3:uid="{00000000-0010-0000-0000-000007000000}" name="Grocery CPI"/>
    <tableColumn id="8" xr3:uid="{00000000-0010-0000-0000-000008000000}" name="Headline CPI"/>
    <tableColumn id="9" xr3:uid="{00000000-0010-0000-0000-000009000000}" name="Unemployment Rate (%)"/>
    <tableColumn id="10" xr3:uid="{00000000-0010-0000-0000-00000A000000}" name="30-Yr Mortgage Rate (%)"/>
    <tableColumn id="11" xr3:uid="{00000000-0010-0000-0000-00000B000000}" name="WTI YoY %"/>
    <tableColumn id="12" xr3:uid="{00000000-0010-0000-0000-00000C000000}" name="Retail Gas YoY %"/>
    <tableColumn id="13" xr3:uid="{00000000-0010-0000-0000-00000D000000}" name="GDP Growth YoY %"/>
    <tableColumn id="14" xr3:uid="{00000000-0010-0000-0000-00000E000000}" name="Grocery YoY %"/>
    <tableColumn id="15" xr3:uid="{00000000-0010-0000-0000-00000F000000}" name="CPI Headline YoY %"/>
    <tableColumn id="16" xr3:uid="{00000000-0010-0000-0000-000010000000}" name="Historical Event Marker"/>
    <tableColumn id="17" xr3:uid="{00000000-0010-0000-0000-000011000000}" name="Policy &amp; Legislative Marker"/>
    <tableColumn id="18" xr3:uid="{00000000-0010-0000-0000-000012000000}" name="Event Y-axis"/>
    <tableColumn id="19" xr3:uid="{00000000-0010-0000-0000-000013000000}" name="Events &amp; Policies"/>
    <tableColumn id="20" xr3:uid="{00000000-0010-0000-0000-000014000000}" name="GDP Delta %"/>
    <tableColumn id="21" xr3:uid="{00000000-0010-0000-0000-000015000000}" name="President"/>
    <tableColumn id="22" xr3:uid="{00000000-0010-0000-0000-000016000000}" name="Primary Axis"/>
    <tableColumn id="23" xr3:uid="{00000000-0010-0000-0000-000017000000}" name="Secondary Ax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4.4" x14ac:dyDescent="0.3"/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6" spans="1:1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2" spans="1:1" x14ac:dyDescent="0.3">
      <c r="A12" s="4" t="s">
        <v>8</v>
      </c>
    </row>
    <row r="13" spans="1:1" x14ac:dyDescent="0.3">
      <c r="A13" s="6" t="s">
        <v>9</v>
      </c>
    </row>
    <row r="14" spans="1:1" x14ac:dyDescent="0.3">
      <c r="A14" s="6" t="s">
        <v>10</v>
      </c>
    </row>
    <row r="15" spans="1:1" x14ac:dyDescent="0.3">
      <c r="A15" s="6" t="s">
        <v>11</v>
      </c>
    </row>
    <row r="16" spans="1:1" x14ac:dyDescent="0.3">
      <c r="A16" s="6" t="s">
        <v>12</v>
      </c>
    </row>
    <row r="17" spans="1:1" x14ac:dyDescent="0.3">
      <c r="A17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4.4" x14ac:dyDescent="0.3"/>
  <cols>
    <col min="1" max="1" width="106" customWidth="1"/>
    <col min="2" max="2" width="21" customWidth="1"/>
    <col min="3" max="3" width="22" customWidth="1"/>
    <col min="4" max="4" width="20" customWidth="1"/>
    <col min="5" max="5" width="17" customWidth="1"/>
    <col min="6" max="6" width="22" customWidth="1"/>
    <col min="7" max="7" width="27" customWidth="1"/>
    <col min="8" max="8" width="25" customWidth="1"/>
  </cols>
  <sheetData>
    <row r="1" spans="1:8" ht="18" x14ac:dyDescent="0.35">
      <c r="A1" s="1" t="s">
        <v>14</v>
      </c>
    </row>
    <row r="2" spans="1:8" x14ac:dyDescent="0.3">
      <c r="A2" s="7" t="s">
        <v>15</v>
      </c>
    </row>
    <row r="4" spans="1:8" x14ac:dyDescent="0.3">
      <c r="A4" s="8" t="s">
        <v>16</v>
      </c>
    </row>
    <row r="5" spans="1:8" x14ac:dyDescent="0.3">
      <c r="A5" s="9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</row>
    <row r="6" spans="1:8" x14ac:dyDescent="0.3">
      <c r="A6" s="10" t="s">
        <v>18</v>
      </c>
      <c r="B6" s="11">
        <v>1</v>
      </c>
      <c r="C6" s="12">
        <v>0.93300000000000005</v>
      </c>
      <c r="D6" s="13">
        <v>0.37</v>
      </c>
      <c r="E6" s="13">
        <v>0.45500000000000002</v>
      </c>
      <c r="F6" s="13">
        <v>0.42699999999999999</v>
      </c>
      <c r="G6" s="13">
        <v>-0.19400000000000001</v>
      </c>
      <c r="H6" s="13">
        <v>0.16400000000000001</v>
      </c>
    </row>
    <row r="7" spans="1:8" x14ac:dyDescent="0.3">
      <c r="A7" s="10" t="s">
        <v>19</v>
      </c>
      <c r="B7" s="12">
        <v>0.93300000000000005</v>
      </c>
      <c r="C7" s="11">
        <v>1</v>
      </c>
      <c r="D7" s="13">
        <v>0.61599999999999999</v>
      </c>
      <c r="E7" s="13">
        <v>0.68899999999999995</v>
      </c>
      <c r="F7" s="13">
        <v>0.66600000000000004</v>
      </c>
      <c r="G7" s="13">
        <v>-0.215</v>
      </c>
      <c r="H7" s="13">
        <v>1.9E-2</v>
      </c>
    </row>
    <row r="8" spans="1:8" x14ac:dyDescent="0.3">
      <c r="A8" s="10" t="s">
        <v>20</v>
      </c>
      <c r="B8" s="13">
        <v>0.37</v>
      </c>
      <c r="C8" s="13">
        <v>0.61599999999999999</v>
      </c>
      <c r="D8" s="11">
        <v>1</v>
      </c>
      <c r="E8" s="12">
        <v>0.97</v>
      </c>
      <c r="F8" s="12">
        <v>0.98699999999999999</v>
      </c>
      <c r="G8" s="13">
        <v>-0.20599999999999999</v>
      </c>
      <c r="H8" s="13">
        <v>-0.35499999999999998</v>
      </c>
    </row>
    <row r="9" spans="1:8" x14ac:dyDescent="0.3">
      <c r="A9" s="10" t="s">
        <v>21</v>
      </c>
      <c r="B9" s="13">
        <v>0.45500000000000002</v>
      </c>
      <c r="C9" s="13">
        <v>0.68899999999999995</v>
      </c>
      <c r="D9" s="12">
        <v>0.97</v>
      </c>
      <c r="E9" s="11">
        <v>1</v>
      </c>
      <c r="F9" s="12">
        <v>0.99299999999999999</v>
      </c>
      <c r="G9" s="13">
        <v>-0.16700000000000001</v>
      </c>
      <c r="H9" s="13">
        <v>-0.22700000000000001</v>
      </c>
    </row>
    <row r="10" spans="1:8" x14ac:dyDescent="0.3">
      <c r="A10" s="10" t="s">
        <v>22</v>
      </c>
      <c r="B10" s="13">
        <v>0.42699999999999999</v>
      </c>
      <c r="C10" s="13">
        <v>0.66600000000000004</v>
      </c>
      <c r="D10" s="12">
        <v>0.98699999999999999</v>
      </c>
      <c r="E10" s="12">
        <v>0.99299999999999999</v>
      </c>
      <c r="F10" s="11">
        <v>1</v>
      </c>
      <c r="G10" s="13">
        <v>-0.153</v>
      </c>
      <c r="H10" s="13">
        <v>-0.27700000000000002</v>
      </c>
    </row>
    <row r="11" spans="1:8" x14ac:dyDescent="0.3">
      <c r="A11" s="10" t="s">
        <v>23</v>
      </c>
      <c r="B11" s="13">
        <v>-0.19400000000000001</v>
      </c>
      <c r="C11" s="13">
        <v>-0.215</v>
      </c>
      <c r="D11" s="13">
        <v>-0.20599999999999999</v>
      </c>
      <c r="E11" s="13">
        <v>-0.16700000000000001</v>
      </c>
      <c r="F11" s="13">
        <v>-0.153</v>
      </c>
      <c r="G11" s="11">
        <v>1</v>
      </c>
      <c r="H11" s="13">
        <v>-0.38300000000000001</v>
      </c>
    </row>
    <row r="12" spans="1:8" x14ac:dyDescent="0.3">
      <c r="A12" s="10" t="s">
        <v>24</v>
      </c>
      <c r="B12" s="13">
        <v>0.16400000000000001</v>
      </c>
      <c r="C12" s="13">
        <v>1.9E-2</v>
      </c>
      <c r="D12" s="13">
        <v>-0.35499999999999998</v>
      </c>
      <c r="E12" s="13">
        <v>-0.22700000000000001</v>
      </c>
      <c r="F12" s="13">
        <v>-0.27700000000000002</v>
      </c>
      <c r="G12" s="13">
        <v>-0.38300000000000001</v>
      </c>
      <c r="H12" s="11">
        <v>1</v>
      </c>
    </row>
    <row r="15" spans="1:8" x14ac:dyDescent="0.3">
      <c r="A15" s="8" t="s">
        <v>25</v>
      </c>
    </row>
    <row r="16" spans="1:8" x14ac:dyDescent="0.3">
      <c r="A16" s="9" t="s">
        <v>26</v>
      </c>
      <c r="B16" s="9" t="s">
        <v>27</v>
      </c>
      <c r="C16" s="9" t="s">
        <v>28</v>
      </c>
      <c r="D16" s="9" t="s">
        <v>29</v>
      </c>
      <c r="E16" s="9" t="s">
        <v>30</v>
      </c>
      <c r="F16" s="9" t="s">
        <v>31</v>
      </c>
    </row>
    <row r="17" spans="1:6" x14ac:dyDescent="0.3">
      <c r="A17" s="10" t="s">
        <v>27</v>
      </c>
      <c r="B17" s="11">
        <v>1</v>
      </c>
      <c r="C17" s="12">
        <v>0.92700000000000005</v>
      </c>
      <c r="D17" s="13">
        <v>0.54</v>
      </c>
      <c r="E17" s="13">
        <v>0.11799999999999999</v>
      </c>
      <c r="F17" s="13">
        <v>0.627</v>
      </c>
    </row>
    <row r="18" spans="1:6" x14ac:dyDescent="0.3">
      <c r="A18" s="10" t="s">
        <v>28</v>
      </c>
      <c r="B18" s="12">
        <v>0.92700000000000005</v>
      </c>
      <c r="C18" s="11">
        <v>1</v>
      </c>
      <c r="D18" s="13">
        <v>0.501</v>
      </c>
      <c r="E18" s="13">
        <v>0.23499999999999999</v>
      </c>
      <c r="F18" s="12">
        <v>0.71799999999999997</v>
      </c>
    </row>
    <row r="19" spans="1:6" x14ac:dyDescent="0.3">
      <c r="A19" s="10" t="s">
        <v>29</v>
      </c>
      <c r="B19" s="13">
        <v>0.54</v>
      </c>
      <c r="C19" s="13">
        <v>0.501</v>
      </c>
      <c r="D19" s="11">
        <v>1</v>
      </c>
      <c r="E19" s="13">
        <v>-7.3999999999999996E-2</v>
      </c>
      <c r="F19" s="13">
        <v>0.38700000000000001</v>
      </c>
    </row>
    <row r="20" spans="1:6" x14ac:dyDescent="0.3">
      <c r="A20" s="10" t="s">
        <v>30</v>
      </c>
      <c r="B20" s="13">
        <v>0.11799999999999999</v>
      </c>
      <c r="C20" s="13">
        <v>0.23499999999999999</v>
      </c>
      <c r="D20" s="13">
        <v>-7.3999999999999996E-2</v>
      </c>
      <c r="E20" s="11">
        <v>1</v>
      </c>
      <c r="F20" s="13">
        <v>0.68</v>
      </c>
    </row>
    <row r="21" spans="1:6" x14ac:dyDescent="0.3">
      <c r="A21" s="10" t="s">
        <v>31</v>
      </c>
      <c r="B21" s="13">
        <v>0.627</v>
      </c>
      <c r="C21" s="12">
        <v>0.71799999999999997</v>
      </c>
      <c r="D21" s="13">
        <v>0.38700000000000001</v>
      </c>
      <c r="E21" s="13">
        <v>0.68</v>
      </c>
      <c r="F21" s="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113"/>
  <sheetViews>
    <sheetView tabSelected="1" workbookViewId="0">
      <selection activeCell="Z23" sqref="Z23"/>
    </sheetView>
  </sheetViews>
  <sheetFormatPr defaultRowHeight="14.4" x14ac:dyDescent="0.3"/>
  <sheetData>
    <row r="2" spans="1:25" x14ac:dyDescent="0.3">
      <c r="Y2" s="14" t="s">
        <v>32</v>
      </c>
    </row>
    <row r="3" spans="1:25" x14ac:dyDescent="0.3">
      <c r="D3" s="15" t="s">
        <v>33</v>
      </c>
      <c r="E3" t="s">
        <v>19</v>
      </c>
      <c r="F3">
        <f>MATCH(E3,$A$6:$U$6,0)</f>
        <v>5</v>
      </c>
      <c r="P3" s="15" t="s">
        <v>34</v>
      </c>
      <c r="Q3" s="15" t="s">
        <v>35</v>
      </c>
      <c r="Y3" t="s">
        <v>18</v>
      </c>
    </row>
    <row r="4" spans="1:25" x14ac:dyDescent="0.3">
      <c r="D4" s="15" t="s">
        <v>36</v>
      </c>
      <c r="E4" t="s">
        <v>20</v>
      </c>
      <c r="F4">
        <f>MATCH(E4,$A$6:$U$6,0)</f>
        <v>6</v>
      </c>
      <c r="P4" t="b">
        <v>1</v>
      </c>
      <c r="Q4" t="b">
        <v>1</v>
      </c>
      <c r="Y4" t="s">
        <v>19</v>
      </c>
    </row>
    <row r="5" spans="1:25" x14ac:dyDescent="0.3">
      <c r="V5" s="16" t="str">
        <f>E3</f>
        <v>Retail Gas ($/gal)</v>
      </c>
      <c r="W5" s="16" t="str">
        <f>E4</f>
        <v>Real GDP ($B)</v>
      </c>
      <c r="Y5" t="s">
        <v>20</v>
      </c>
    </row>
    <row r="6" spans="1:25" x14ac:dyDescent="0.3">
      <c r="A6" s="15" t="s">
        <v>37</v>
      </c>
      <c r="B6" s="15" t="s">
        <v>38</v>
      </c>
      <c r="C6" s="15" t="s">
        <v>39</v>
      </c>
      <c r="D6" s="15" t="s">
        <v>18</v>
      </c>
      <c r="E6" s="15" t="s">
        <v>19</v>
      </c>
      <c r="F6" s="15" t="s">
        <v>20</v>
      </c>
      <c r="G6" s="15" t="s">
        <v>21</v>
      </c>
      <c r="H6" s="15" t="s">
        <v>22</v>
      </c>
      <c r="I6" s="15" t="s">
        <v>24</v>
      </c>
      <c r="J6" s="15" t="s">
        <v>23</v>
      </c>
      <c r="K6" s="15" t="s">
        <v>27</v>
      </c>
      <c r="L6" s="15" t="s">
        <v>28</v>
      </c>
      <c r="M6" s="15" t="s">
        <v>29</v>
      </c>
      <c r="N6" s="15" t="s">
        <v>30</v>
      </c>
      <c r="O6" s="15" t="s">
        <v>31</v>
      </c>
      <c r="P6" s="15" t="s">
        <v>40</v>
      </c>
      <c r="Q6" s="15" t="s">
        <v>41</v>
      </c>
      <c r="R6" s="15" t="s">
        <v>42</v>
      </c>
      <c r="S6" s="15" t="s">
        <v>43</v>
      </c>
      <c r="T6" s="15" t="s">
        <v>44</v>
      </c>
      <c r="U6" s="15" t="s">
        <v>45</v>
      </c>
      <c r="V6" s="15" t="s">
        <v>33</v>
      </c>
      <c r="W6" s="15" t="s">
        <v>36</v>
      </c>
      <c r="Y6" t="s">
        <v>21</v>
      </c>
    </row>
    <row r="7" spans="1:25" x14ac:dyDescent="0.3">
      <c r="A7" t="s">
        <v>46</v>
      </c>
      <c r="B7" t="s">
        <v>47</v>
      </c>
      <c r="C7">
        <v>2000</v>
      </c>
      <c r="D7">
        <v>28.89</v>
      </c>
      <c r="E7">
        <v>1.39</v>
      </c>
      <c r="F7">
        <v>13878.1</v>
      </c>
      <c r="G7">
        <v>165.94</v>
      </c>
      <c r="H7">
        <v>170.12</v>
      </c>
      <c r="I7">
        <v>4.03</v>
      </c>
      <c r="J7">
        <v>8.26</v>
      </c>
      <c r="P7" t="s">
        <v>48</v>
      </c>
      <c r="Q7" t="s">
        <v>49</v>
      </c>
      <c r="R7">
        <f t="shared" ref="R7:R38" si="0">IF(AND(OR(P$4=FALSE, P7="None"), OR(Q$4=FALSE, Q7="None")), NA(), E7)</f>
        <v>1.39</v>
      </c>
      <c r="S7" t="str">
        <f t="shared" ref="S7:S38" si="1">IF(AND(P7="None",Q7="None"),"",IF(AND(P$4=TRUE,P7&lt;&gt;"None"),P7&amp;", ","")&amp;IF(AND(Q$4=TRUE,Q7&lt;&gt;"None"),Q7,""))</f>
        <v xml:space="preserve">OPEC Target Output Cuts / Post-Dot-Com Oil Demand Peak, </v>
      </c>
      <c r="T7" s="17" t="e">
        <f t="shared" ref="T7:T38" si="2">IF(F7="",NA(),IFERROR(F7/F6-1,NA()))</f>
        <v>#N/A</v>
      </c>
      <c r="U7" t="s">
        <v>50</v>
      </c>
      <c r="V7">
        <f t="shared" ref="V7:V38" ca="1" si="3">INDIRECT(ADDRESS(ROW(),$F$3))</f>
        <v>1.39</v>
      </c>
      <c r="W7">
        <f t="shared" ref="W7:W38" ca="1" si="4">INDIRECT(ADDRESS(ROW(),$F$4))</f>
        <v>13878.1</v>
      </c>
      <c r="Y7" t="s">
        <v>22</v>
      </c>
    </row>
    <row r="8" spans="1:25" x14ac:dyDescent="0.3">
      <c r="A8" t="s">
        <v>51</v>
      </c>
      <c r="B8" t="s">
        <v>52</v>
      </c>
      <c r="C8">
        <v>2000</v>
      </c>
      <c r="D8">
        <v>28.88</v>
      </c>
      <c r="E8">
        <v>1.52</v>
      </c>
      <c r="F8">
        <v>14130.9</v>
      </c>
      <c r="G8">
        <v>167.18</v>
      </c>
      <c r="H8">
        <v>171.44</v>
      </c>
      <c r="I8">
        <v>3.94</v>
      </c>
      <c r="J8">
        <v>8.32</v>
      </c>
      <c r="P8" t="s">
        <v>49</v>
      </c>
      <c r="Q8" t="s">
        <v>53</v>
      </c>
      <c r="R8">
        <f t="shared" si="0"/>
        <v>1.52</v>
      </c>
      <c r="S8" t="str">
        <f t="shared" si="1"/>
        <v>Clinton Administration SPR Exchange Swap Directive</v>
      </c>
      <c r="T8" s="17">
        <f t="shared" si="2"/>
        <v>1.8215749994595853E-2</v>
      </c>
      <c r="U8" t="s">
        <v>50</v>
      </c>
      <c r="V8">
        <f t="shared" ca="1" si="3"/>
        <v>1.52</v>
      </c>
      <c r="W8">
        <f t="shared" ca="1" si="4"/>
        <v>14130.9</v>
      </c>
      <c r="Y8" t="s">
        <v>24</v>
      </c>
    </row>
    <row r="9" spans="1:25" x14ac:dyDescent="0.3">
      <c r="A9" t="s">
        <v>54</v>
      </c>
      <c r="B9" t="s">
        <v>55</v>
      </c>
      <c r="C9">
        <v>2000</v>
      </c>
      <c r="D9">
        <v>31.69</v>
      </c>
      <c r="E9">
        <v>1.53</v>
      </c>
      <c r="F9">
        <v>14145.3</v>
      </c>
      <c r="G9">
        <v>168.87</v>
      </c>
      <c r="H9">
        <v>172.99</v>
      </c>
      <c r="I9">
        <v>4</v>
      </c>
      <c r="J9">
        <v>8.0399999999999991</v>
      </c>
      <c r="P9" t="s">
        <v>49</v>
      </c>
      <c r="Q9" t="s">
        <v>49</v>
      </c>
      <c r="R9" t="e">
        <f t="shared" si="0"/>
        <v>#N/A</v>
      </c>
      <c r="S9" t="str">
        <f t="shared" si="1"/>
        <v/>
      </c>
      <c r="T9" s="17">
        <f t="shared" si="2"/>
        <v>1.0190433730334902E-3</v>
      </c>
      <c r="U9" t="s">
        <v>50</v>
      </c>
      <c r="V9">
        <f t="shared" ca="1" si="3"/>
        <v>1.53</v>
      </c>
      <c r="W9">
        <f t="shared" ca="1" si="4"/>
        <v>14145.3</v>
      </c>
      <c r="Y9" t="s">
        <v>23</v>
      </c>
    </row>
    <row r="10" spans="1:25" x14ac:dyDescent="0.3">
      <c r="A10" t="s">
        <v>56</v>
      </c>
      <c r="B10" t="s">
        <v>57</v>
      </c>
      <c r="C10">
        <v>2000</v>
      </c>
      <c r="D10">
        <v>32.01</v>
      </c>
      <c r="E10">
        <v>1.5</v>
      </c>
      <c r="F10">
        <v>14229.8</v>
      </c>
      <c r="G10">
        <v>169.45</v>
      </c>
      <c r="H10">
        <v>174.22</v>
      </c>
      <c r="I10">
        <v>3.9</v>
      </c>
      <c r="J10">
        <v>7.67</v>
      </c>
      <c r="P10" t="s">
        <v>49</v>
      </c>
      <c r="Q10" t="s">
        <v>49</v>
      </c>
      <c r="R10" t="e">
        <f t="shared" si="0"/>
        <v>#N/A</v>
      </c>
      <c r="S10" t="str">
        <f t="shared" si="1"/>
        <v/>
      </c>
      <c r="T10" s="17">
        <f t="shared" si="2"/>
        <v>5.9737156511350253E-3</v>
      </c>
      <c r="U10" t="s">
        <v>50</v>
      </c>
      <c r="V10">
        <f t="shared" ca="1" si="3"/>
        <v>1.5</v>
      </c>
      <c r="W10">
        <f t="shared" ca="1" si="4"/>
        <v>14229.8</v>
      </c>
      <c r="Y10" t="s">
        <v>44</v>
      </c>
    </row>
    <row r="11" spans="1:25" x14ac:dyDescent="0.3">
      <c r="A11" t="s">
        <v>58</v>
      </c>
      <c r="B11" t="s">
        <v>59</v>
      </c>
      <c r="C11">
        <v>2001</v>
      </c>
      <c r="D11">
        <v>28.76</v>
      </c>
      <c r="E11">
        <v>1.44</v>
      </c>
      <c r="F11">
        <v>14183.1</v>
      </c>
      <c r="G11">
        <v>171.34</v>
      </c>
      <c r="H11">
        <v>175.89</v>
      </c>
      <c r="I11">
        <v>4.2300000000000004</v>
      </c>
      <c r="J11">
        <v>7.02</v>
      </c>
      <c r="K11">
        <v>-0.45</v>
      </c>
      <c r="L11">
        <v>3.6</v>
      </c>
      <c r="M11">
        <v>2.2000000000000002</v>
      </c>
      <c r="N11">
        <v>3.25</v>
      </c>
      <c r="O11">
        <v>3.39</v>
      </c>
      <c r="P11" t="s">
        <v>49</v>
      </c>
      <c r="Q11" t="s">
        <v>49</v>
      </c>
      <c r="R11" t="e">
        <f t="shared" si="0"/>
        <v>#N/A</v>
      </c>
      <c r="S11" t="str">
        <f t="shared" si="1"/>
        <v/>
      </c>
      <c r="T11" s="17">
        <f t="shared" si="2"/>
        <v>-3.2818451418852312E-3</v>
      </c>
      <c r="U11" t="s">
        <v>60</v>
      </c>
      <c r="V11">
        <f t="shared" ca="1" si="3"/>
        <v>1.44</v>
      </c>
      <c r="W11">
        <f t="shared" ca="1" si="4"/>
        <v>14183.1</v>
      </c>
    </row>
    <row r="12" spans="1:25" x14ac:dyDescent="0.3">
      <c r="A12" t="s">
        <v>61</v>
      </c>
      <c r="B12" t="s">
        <v>62</v>
      </c>
      <c r="C12">
        <v>2001</v>
      </c>
      <c r="D12">
        <v>27.92</v>
      </c>
      <c r="E12">
        <v>1.61</v>
      </c>
      <c r="F12">
        <v>14271.7</v>
      </c>
      <c r="G12">
        <v>172.92</v>
      </c>
      <c r="H12">
        <v>177.13</v>
      </c>
      <c r="I12">
        <v>4.4000000000000004</v>
      </c>
      <c r="J12">
        <v>7.11</v>
      </c>
      <c r="K12">
        <v>-3.32</v>
      </c>
      <c r="L12">
        <v>5.92</v>
      </c>
      <c r="M12">
        <v>1</v>
      </c>
      <c r="N12">
        <v>3.43</v>
      </c>
      <c r="O12">
        <v>3.32</v>
      </c>
      <c r="P12" t="s">
        <v>49</v>
      </c>
      <c r="Q12" t="s">
        <v>49</v>
      </c>
      <c r="R12" t="e">
        <f t="shared" si="0"/>
        <v>#N/A</v>
      </c>
      <c r="S12" t="str">
        <f t="shared" si="1"/>
        <v/>
      </c>
      <c r="T12" s="17">
        <f t="shared" si="2"/>
        <v>6.2468712763783518E-3</v>
      </c>
      <c r="U12" t="s">
        <v>60</v>
      </c>
      <c r="V12">
        <f t="shared" ca="1" si="3"/>
        <v>1.61</v>
      </c>
      <c r="W12">
        <f t="shared" ca="1" si="4"/>
        <v>14271.7</v>
      </c>
    </row>
    <row r="13" spans="1:25" x14ac:dyDescent="0.3">
      <c r="A13" t="s">
        <v>63</v>
      </c>
      <c r="B13" t="s">
        <v>64</v>
      </c>
      <c r="C13">
        <v>2001</v>
      </c>
      <c r="D13">
        <v>26.69</v>
      </c>
      <c r="E13">
        <v>1.45</v>
      </c>
      <c r="F13">
        <v>14214.5</v>
      </c>
      <c r="G13">
        <v>174.26</v>
      </c>
      <c r="H13">
        <v>177.62</v>
      </c>
      <c r="I13">
        <v>4.83</v>
      </c>
      <c r="J13">
        <v>6.99</v>
      </c>
      <c r="K13">
        <v>-15.78</v>
      </c>
      <c r="L13">
        <v>-5.23</v>
      </c>
      <c r="M13">
        <v>0.49</v>
      </c>
      <c r="N13">
        <v>3.19</v>
      </c>
      <c r="O13">
        <v>2.68</v>
      </c>
      <c r="P13" t="s">
        <v>65</v>
      </c>
      <c r="Q13" t="s">
        <v>49</v>
      </c>
      <c r="R13">
        <f t="shared" si="0"/>
        <v>1.45</v>
      </c>
      <c r="S13" t="str">
        <f t="shared" si="1"/>
        <v xml:space="preserve">9/11 Terror Attacks / Global Jet Fuel &amp; Travel Demand Collapse, </v>
      </c>
      <c r="T13" s="17">
        <f t="shared" si="2"/>
        <v>-4.0079317810772785E-3</v>
      </c>
      <c r="U13" t="s">
        <v>60</v>
      </c>
      <c r="V13">
        <f t="shared" ca="1" si="3"/>
        <v>1.45</v>
      </c>
      <c r="W13">
        <f t="shared" ca="1" si="4"/>
        <v>14214.5</v>
      </c>
    </row>
    <row r="14" spans="1:25" x14ac:dyDescent="0.3">
      <c r="A14" t="s">
        <v>66</v>
      </c>
      <c r="B14" t="s">
        <v>67</v>
      </c>
      <c r="C14">
        <v>2001</v>
      </c>
      <c r="D14">
        <v>20.39</v>
      </c>
      <c r="E14">
        <v>1.2</v>
      </c>
      <c r="F14">
        <v>14253.6</v>
      </c>
      <c r="G14">
        <v>174.97</v>
      </c>
      <c r="H14">
        <v>177.5</v>
      </c>
      <c r="I14">
        <v>5.5</v>
      </c>
      <c r="J14">
        <v>6.75</v>
      </c>
      <c r="K14">
        <v>-36.299999999999997</v>
      </c>
      <c r="L14">
        <v>-20</v>
      </c>
      <c r="M14">
        <v>0.17</v>
      </c>
      <c r="N14">
        <v>3.26</v>
      </c>
      <c r="O14">
        <v>1.88</v>
      </c>
      <c r="P14" t="s">
        <v>49</v>
      </c>
      <c r="Q14" t="s">
        <v>68</v>
      </c>
      <c r="R14">
        <f t="shared" si="0"/>
        <v>1.2</v>
      </c>
      <c r="S14" t="str">
        <f t="shared" si="1"/>
        <v>US Patriot Act Passed / Critical Infrastructure Security Rules</v>
      </c>
      <c r="T14" s="17">
        <f t="shared" si="2"/>
        <v>2.750712300819691E-3</v>
      </c>
      <c r="U14" t="s">
        <v>60</v>
      </c>
      <c r="V14">
        <f t="shared" ca="1" si="3"/>
        <v>1.2</v>
      </c>
      <c r="W14">
        <f t="shared" ca="1" si="4"/>
        <v>14253.6</v>
      </c>
    </row>
    <row r="15" spans="1:25" x14ac:dyDescent="0.3">
      <c r="A15" t="s">
        <v>69</v>
      </c>
      <c r="B15" t="s">
        <v>70</v>
      </c>
      <c r="C15">
        <v>2002</v>
      </c>
      <c r="D15">
        <v>21.63</v>
      </c>
      <c r="E15">
        <v>1.1499999999999999</v>
      </c>
      <c r="F15">
        <v>14372.8</v>
      </c>
      <c r="G15">
        <v>175.76</v>
      </c>
      <c r="H15">
        <v>178.06</v>
      </c>
      <c r="I15">
        <v>5.7</v>
      </c>
      <c r="J15">
        <v>6.97</v>
      </c>
      <c r="K15">
        <v>-24.79</v>
      </c>
      <c r="L15">
        <v>-20.14</v>
      </c>
      <c r="M15">
        <v>1.34</v>
      </c>
      <c r="N15">
        <v>2.58</v>
      </c>
      <c r="O15">
        <v>1.23</v>
      </c>
      <c r="P15" t="s">
        <v>49</v>
      </c>
      <c r="Q15" t="s">
        <v>49</v>
      </c>
      <c r="R15" t="e">
        <f t="shared" si="0"/>
        <v>#N/A</v>
      </c>
      <c r="S15" t="str">
        <f t="shared" si="1"/>
        <v/>
      </c>
      <c r="T15" s="17">
        <f t="shared" si="2"/>
        <v>8.3627995734409932E-3</v>
      </c>
      <c r="U15" t="s">
        <v>60</v>
      </c>
      <c r="V15">
        <f t="shared" ca="1" si="3"/>
        <v>1.1499999999999999</v>
      </c>
      <c r="W15">
        <f t="shared" ca="1" si="4"/>
        <v>14372.8</v>
      </c>
    </row>
    <row r="16" spans="1:25" x14ac:dyDescent="0.3">
      <c r="A16" t="s">
        <v>71</v>
      </c>
      <c r="B16" t="s">
        <v>72</v>
      </c>
      <c r="C16">
        <v>2002</v>
      </c>
      <c r="D16">
        <v>26.26</v>
      </c>
      <c r="E16">
        <v>1.39</v>
      </c>
      <c r="F16">
        <v>14460.8</v>
      </c>
      <c r="G16">
        <v>175.8</v>
      </c>
      <c r="H16">
        <v>179.47</v>
      </c>
      <c r="I16">
        <v>5.83</v>
      </c>
      <c r="J16">
        <v>6.85</v>
      </c>
      <c r="K16">
        <v>-5.95</v>
      </c>
      <c r="L16">
        <v>-13.66</v>
      </c>
      <c r="M16">
        <v>1.32</v>
      </c>
      <c r="N16">
        <v>1.67</v>
      </c>
      <c r="O16">
        <v>1.32</v>
      </c>
      <c r="P16" t="s">
        <v>49</v>
      </c>
      <c r="Q16" t="s">
        <v>73</v>
      </c>
      <c r="R16">
        <f t="shared" si="0"/>
        <v>1.39</v>
      </c>
      <c r="S16" t="str">
        <f t="shared" si="1"/>
        <v>US Farm Security and Rural Investment Act (Biofuel Incentives)</v>
      </c>
      <c r="T16" s="17">
        <f t="shared" si="2"/>
        <v>6.122676166091523E-3</v>
      </c>
      <c r="U16" t="s">
        <v>60</v>
      </c>
      <c r="V16">
        <f t="shared" ca="1" si="3"/>
        <v>1.39</v>
      </c>
      <c r="W16">
        <f t="shared" ca="1" si="4"/>
        <v>14460.8</v>
      </c>
    </row>
    <row r="17" spans="1:23" x14ac:dyDescent="0.3">
      <c r="A17" t="s">
        <v>74</v>
      </c>
      <c r="B17" t="s">
        <v>75</v>
      </c>
      <c r="C17">
        <v>2002</v>
      </c>
      <c r="D17">
        <v>28.29</v>
      </c>
      <c r="E17">
        <v>1.4</v>
      </c>
      <c r="F17">
        <v>14519.6</v>
      </c>
      <c r="G17">
        <v>175.27</v>
      </c>
      <c r="H17">
        <v>180.43</v>
      </c>
      <c r="I17">
        <v>5.73</v>
      </c>
      <c r="J17">
        <v>6.32</v>
      </c>
      <c r="K17">
        <v>5.99</v>
      </c>
      <c r="L17">
        <v>-3.45</v>
      </c>
      <c r="M17">
        <v>2.15</v>
      </c>
      <c r="N17">
        <v>0.57999999999999996</v>
      </c>
      <c r="O17">
        <v>1.58</v>
      </c>
      <c r="P17" t="s">
        <v>49</v>
      </c>
      <c r="Q17" t="s">
        <v>49</v>
      </c>
      <c r="R17" t="e">
        <f t="shared" si="0"/>
        <v>#N/A</v>
      </c>
      <c r="S17" t="str">
        <f t="shared" si="1"/>
        <v/>
      </c>
      <c r="T17" s="17">
        <f t="shared" si="2"/>
        <v>4.0661650807700678E-3</v>
      </c>
      <c r="U17" t="s">
        <v>60</v>
      </c>
      <c r="V17">
        <f t="shared" ca="1" si="3"/>
        <v>1.4</v>
      </c>
      <c r="W17">
        <f t="shared" ca="1" si="4"/>
        <v>14519.6</v>
      </c>
    </row>
    <row r="18" spans="1:23" x14ac:dyDescent="0.3">
      <c r="A18" t="s">
        <v>76</v>
      </c>
      <c r="B18" t="s">
        <v>77</v>
      </c>
      <c r="C18">
        <v>2002</v>
      </c>
      <c r="D18">
        <v>28.29</v>
      </c>
      <c r="E18">
        <v>1.41</v>
      </c>
      <c r="F18">
        <v>14537.6</v>
      </c>
      <c r="G18">
        <v>175.53</v>
      </c>
      <c r="H18">
        <v>181.5</v>
      </c>
      <c r="I18">
        <v>5.87</v>
      </c>
      <c r="J18">
        <v>6.08</v>
      </c>
      <c r="K18">
        <v>38.74</v>
      </c>
      <c r="L18">
        <v>17.5</v>
      </c>
      <c r="M18">
        <v>1.99</v>
      </c>
      <c r="N18">
        <v>0.32</v>
      </c>
      <c r="O18">
        <v>2.25</v>
      </c>
      <c r="P18" t="s">
        <v>78</v>
      </c>
      <c r="Q18" t="s">
        <v>49</v>
      </c>
      <c r="R18">
        <f t="shared" si="0"/>
        <v>1.41</v>
      </c>
      <c r="S18" t="str">
        <f t="shared" si="1"/>
        <v xml:space="preserve">Venezuelan General Strike / PDVSA Oil Production Shutdown, </v>
      </c>
      <c r="T18" s="17">
        <f t="shared" si="2"/>
        <v>1.239703573101103E-3</v>
      </c>
      <c r="U18" t="s">
        <v>60</v>
      </c>
      <c r="V18">
        <f t="shared" ca="1" si="3"/>
        <v>1.41</v>
      </c>
      <c r="W18">
        <f t="shared" ca="1" si="4"/>
        <v>14537.6</v>
      </c>
    </row>
    <row r="19" spans="1:23" x14ac:dyDescent="0.3">
      <c r="A19" t="s">
        <v>79</v>
      </c>
      <c r="B19" t="s">
        <v>80</v>
      </c>
      <c r="C19">
        <v>2003</v>
      </c>
      <c r="D19">
        <v>34.07</v>
      </c>
      <c r="E19">
        <v>1.58</v>
      </c>
      <c r="F19">
        <v>14614.1</v>
      </c>
      <c r="G19">
        <v>176.88</v>
      </c>
      <c r="H19">
        <v>183.35</v>
      </c>
      <c r="I19">
        <v>5.87</v>
      </c>
      <c r="J19">
        <v>5.84</v>
      </c>
      <c r="K19">
        <v>57.51</v>
      </c>
      <c r="L19">
        <v>37.39</v>
      </c>
      <c r="M19">
        <v>1.68</v>
      </c>
      <c r="N19">
        <v>0.64</v>
      </c>
      <c r="O19">
        <v>2.97</v>
      </c>
      <c r="P19" t="s">
        <v>81</v>
      </c>
      <c r="Q19" t="s">
        <v>49</v>
      </c>
      <c r="R19">
        <f t="shared" si="0"/>
        <v>1.58</v>
      </c>
      <c r="S19" t="str">
        <f t="shared" si="1"/>
        <v xml:space="preserve">US Invades Iraq / Gulf War Supply Uncertainty, </v>
      </c>
      <c r="T19" s="17">
        <f t="shared" si="2"/>
        <v>5.2622165969624657E-3</v>
      </c>
      <c r="U19" t="s">
        <v>60</v>
      </c>
      <c r="V19">
        <f t="shared" ca="1" si="3"/>
        <v>1.58</v>
      </c>
      <c r="W19">
        <f t="shared" ca="1" si="4"/>
        <v>14614.1</v>
      </c>
    </row>
    <row r="20" spans="1:23" x14ac:dyDescent="0.3">
      <c r="A20" t="s">
        <v>82</v>
      </c>
      <c r="B20" t="s">
        <v>83</v>
      </c>
      <c r="C20">
        <v>2003</v>
      </c>
      <c r="D20">
        <v>29.02</v>
      </c>
      <c r="E20">
        <v>1.53</v>
      </c>
      <c r="F20">
        <v>14743.6</v>
      </c>
      <c r="G20">
        <v>178.23</v>
      </c>
      <c r="H20">
        <v>183.07</v>
      </c>
      <c r="I20">
        <v>6.13</v>
      </c>
      <c r="J20">
        <v>5.53</v>
      </c>
      <c r="K20">
        <v>10.51</v>
      </c>
      <c r="L20">
        <v>10.07</v>
      </c>
      <c r="M20">
        <v>1.96</v>
      </c>
      <c r="N20">
        <v>1.38</v>
      </c>
      <c r="O20">
        <v>2.0099999999999998</v>
      </c>
      <c r="P20" t="s">
        <v>49</v>
      </c>
      <c r="Q20" t="s">
        <v>49</v>
      </c>
      <c r="R20" t="e">
        <f t="shared" si="0"/>
        <v>#N/A</v>
      </c>
      <c r="S20" t="str">
        <f t="shared" si="1"/>
        <v/>
      </c>
      <c r="T20" s="17">
        <f t="shared" si="2"/>
        <v>8.8613051778760887E-3</v>
      </c>
      <c r="U20" t="s">
        <v>60</v>
      </c>
      <c r="V20">
        <f t="shared" ca="1" si="3"/>
        <v>1.53</v>
      </c>
      <c r="W20">
        <f t="shared" ca="1" si="4"/>
        <v>14743.6</v>
      </c>
    </row>
    <row r="21" spans="1:23" x14ac:dyDescent="0.3">
      <c r="A21" t="s">
        <v>84</v>
      </c>
      <c r="B21" t="s">
        <v>85</v>
      </c>
      <c r="C21">
        <v>2003</v>
      </c>
      <c r="D21">
        <v>30.25</v>
      </c>
      <c r="E21">
        <v>1.6</v>
      </c>
      <c r="F21">
        <v>14988.8</v>
      </c>
      <c r="G21">
        <v>179.82</v>
      </c>
      <c r="H21">
        <v>184.42</v>
      </c>
      <c r="I21">
        <v>6.13</v>
      </c>
      <c r="J21">
        <v>6</v>
      </c>
      <c r="K21">
        <v>6.93</v>
      </c>
      <c r="L21">
        <v>14.29</v>
      </c>
      <c r="M21">
        <v>3.23</v>
      </c>
      <c r="N21">
        <v>2.6</v>
      </c>
      <c r="O21">
        <v>2.21</v>
      </c>
      <c r="P21" t="s">
        <v>49</v>
      </c>
      <c r="Q21" t="s">
        <v>49</v>
      </c>
      <c r="R21" t="e">
        <f t="shared" si="0"/>
        <v>#N/A</v>
      </c>
      <c r="S21" t="str">
        <f t="shared" si="1"/>
        <v/>
      </c>
      <c r="T21" s="17">
        <f t="shared" si="2"/>
        <v>1.663094495238604E-2</v>
      </c>
      <c r="U21" t="s">
        <v>60</v>
      </c>
      <c r="V21">
        <f t="shared" ca="1" si="3"/>
        <v>1.6</v>
      </c>
      <c r="W21">
        <f t="shared" ca="1" si="4"/>
        <v>14988.8</v>
      </c>
    </row>
    <row r="22" spans="1:23" x14ac:dyDescent="0.3">
      <c r="A22" t="s">
        <v>86</v>
      </c>
      <c r="B22" t="s">
        <v>87</v>
      </c>
      <c r="C22">
        <v>2003</v>
      </c>
      <c r="D22">
        <v>31.17</v>
      </c>
      <c r="E22">
        <v>1.52</v>
      </c>
      <c r="F22">
        <v>15162.8</v>
      </c>
      <c r="G22">
        <v>182.67</v>
      </c>
      <c r="H22">
        <v>185.14</v>
      </c>
      <c r="I22">
        <v>5.83</v>
      </c>
      <c r="J22">
        <v>5.93</v>
      </c>
      <c r="K22">
        <v>10.18</v>
      </c>
      <c r="L22">
        <v>7.8</v>
      </c>
      <c r="M22">
        <v>4.3</v>
      </c>
      <c r="N22">
        <v>4.07</v>
      </c>
      <c r="O22">
        <v>2.0099999999999998</v>
      </c>
      <c r="P22" t="s">
        <v>49</v>
      </c>
      <c r="Q22" t="s">
        <v>88</v>
      </c>
      <c r="R22">
        <f t="shared" si="0"/>
        <v>1.52</v>
      </c>
      <c r="S22" t="str">
        <f t="shared" si="1"/>
        <v>US Federal Tax Credit Enhancements for Renewable Energy</v>
      </c>
      <c r="T22" s="17">
        <f t="shared" si="2"/>
        <v>1.1608667805294681E-2</v>
      </c>
      <c r="U22" t="s">
        <v>60</v>
      </c>
      <c r="V22">
        <f t="shared" ca="1" si="3"/>
        <v>1.52</v>
      </c>
      <c r="W22">
        <f t="shared" ca="1" si="4"/>
        <v>15162.8</v>
      </c>
    </row>
    <row r="23" spans="1:23" x14ac:dyDescent="0.3">
      <c r="A23" t="s">
        <v>89</v>
      </c>
      <c r="B23" t="s">
        <v>90</v>
      </c>
      <c r="C23">
        <v>2004</v>
      </c>
      <c r="D23">
        <v>35.21</v>
      </c>
      <c r="E23">
        <v>1.65</v>
      </c>
      <c r="F23">
        <v>15248.7</v>
      </c>
      <c r="G23">
        <v>183.71</v>
      </c>
      <c r="H23">
        <v>186.71</v>
      </c>
      <c r="I23">
        <v>5.7</v>
      </c>
      <c r="J23">
        <v>5.62</v>
      </c>
      <c r="K23">
        <v>3.35</v>
      </c>
      <c r="L23">
        <v>4.43</v>
      </c>
      <c r="M23">
        <v>4.34</v>
      </c>
      <c r="N23">
        <v>3.86</v>
      </c>
      <c r="O23">
        <v>1.83</v>
      </c>
      <c r="P23" t="s">
        <v>49</v>
      </c>
      <c r="Q23" t="s">
        <v>49</v>
      </c>
      <c r="R23" t="e">
        <f t="shared" si="0"/>
        <v>#N/A</v>
      </c>
      <c r="S23" t="str">
        <f t="shared" si="1"/>
        <v/>
      </c>
      <c r="T23" s="17">
        <f t="shared" si="2"/>
        <v>5.6651805735088434E-3</v>
      </c>
      <c r="U23" t="s">
        <v>60</v>
      </c>
      <c r="V23">
        <f t="shared" ca="1" si="3"/>
        <v>1.65</v>
      </c>
      <c r="W23">
        <f t="shared" ca="1" si="4"/>
        <v>15248.7</v>
      </c>
    </row>
    <row r="24" spans="1:23" x14ac:dyDescent="0.3">
      <c r="A24" t="s">
        <v>91</v>
      </c>
      <c r="B24" t="s">
        <v>92</v>
      </c>
      <c r="C24">
        <v>2004</v>
      </c>
      <c r="D24">
        <v>38.31</v>
      </c>
      <c r="E24">
        <v>1.92</v>
      </c>
      <c r="F24">
        <v>15366.8</v>
      </c>
      <c r="G24">
        <v>185.97</v>
      </c>
      <c r="H24">
        <v>188.17</v>
      </c>
      <c r="I24">
        <v>5.6</v>
      </c>
      <c r="J24">
        <v>6.1</v>
      </c>
      <c r="K24">
        <v>32.01</v>
      </c>
      <c r="L24">
        <v>25.49</v>
      </c>
      <c r="M24">
        <v>4.2300000000000004</v>
      </c>
      <c r="N24">
        <v>4.34</v>
      </c>
      <c r="O24">
        <v>2.79</v>
      </c>
      <c r="P24" t="s">
        <v>49</v>
      </c>
      <c r="Q24" t="s">
        <v>49</v>
      </c>
      <c r="R24" t="e">
        <f t="shared" si="0"/>
        <v>#N/A</v>
      </c>
      <c r="S24" t="str">
        <f t="shared" si="1"/>
        <v/>
      </c>
      <c r="T24" s="17">
        <f t="shared" si="2"/>
        <v>7.7449225179850867E-3</v>
      </c>
      <c r="U24" t="s">
        <v>60</v>
      </c>
      <c r="V24">
        <f t="shared" ca="1" si="3"/>
        <v>1.92</v>
      </c>
      <c r="W24">
        <f t="shared" ca="1" si="4"/>
        <v>15366.8</v>
      </c>
    </row>
    <row r="25" spans="1:23" x14ac:dyDescent="0.3">
      <c r="A25" t="s">
        <v>93</v>
      </c>
      <c r="B25" t="s">
        <v>94</v>
      </c>
      <c r="C25">
        <v>2004</v>
      </c>
      <c r="D25">
        <v>43.8</v>
      </c>
      <c r="E25">
        <v>1.89</v>
      </c>
      <c r="F25">
        <v>15512.6</v>
      </c>
      <c r="G25">
        <v>186.87</v>
      </c>
      <c r="H25">
        <v>189.36</v>
      </c>
      <c r="I25">
        <v>5.43</v>
      </c>
      <c r="J25">
        <v>5.91</v>
      </c>
      <c r="K25">
        <v>44.79</v>
      </c>
      <c r="L25">
        <v>18.12</v>
      </c>
      <c r="M25">
        <v>3.49</v>
      </c>
      <c r="N25">
        <v>3.92</v>
      </c>
      <c r="O25">
        <v>2.68</v>
      </c>
      <c r="P25" t="s">
        <v>95</v>
      </c>
      <c r="Q25" t="s">
        <v>49</v>
      </c>
      <c r="R25">
        <f t="shared" si="0"/>
        <v>1.89</v>
      </c>
      <c r="S25" t="str">
        <f t="shared" si="1"/>
        <v xml:space="preserve">Rapid Chinese Industrial Expansion / Global Commodity Supercycle Peak, </v>
      </c>
      <c r="T25" s="17">
        <f t="shared" si="2"/>
        <v>9.487987089049188E-3</v>
      </c>
      <c r="U25" t="s">
        <v>60</v>
      </c>
      <c r="V25">
        <f t="shared" ca="1" si="3"/>
        <v>1.89</v>
      </c>
      <c r="W25">
        <f t="shared" ca="1" si="4"/>
        <v>15512.6</v>
      </c>
    </row>
    <row r="26" spans="1:23" x14ac:dyDescent="0.3">
      <c r="A26" t="s">
        <v>96</v>
      </c>
      <c r="B26" t="s">
        <v>97</v>
      </c>
      <c r="C26">
        <v>2004</v>
      </c>
      <c r="D26">
        <v>48.16</v>
      </c>
      <c r="E26">
        <v>1.94</v>
      </c>
      <c r="F26">
        <v>15670.9</v>
      </c>
      <c r="G26">
        <v>188.24</v>
      </c>
      <c r="H26">
        <v>191.41</v>
      </c>
      <c r="I26">
        <v>5.43</v>
      </c>
      <c r="J26">
        <v>5.73</v>
      </c>
      <c r="K26">
        <v>54.51</v>
      </c>
      <c r="L26">
        <v>27.63</v>
      </c>
      <c r="M26">
        <v>3.35</v>
      </c>
      <c r="N26">
        <v>3.05</v>
      </c>
      <c r="O26">
        <v>3.39</v>
      </c>
      <c r="P26" t="s">
        <v>49</v>
      </c>
      <c r="Q26" t="s">
        <v>98</v>
      </c>
      <c r="R26">
        <f t="shared" si="0"/>
        <v>1.94</v>
      </c>
      <c r="S26" t="str">
        <f t="shared" si="1"/>
        <v>American Jobs Creation Act of 2004 (Volumetric Ethanol Excise Tax Credit)</v>
      </c>
      <c r="T26" s="17">
        <f t="shared" si="2"/>
        <v>1.0204607867153159E-2</v>
      </c>
      <c r="U26" t="s">
        <v>60</v>
      </c>
      <c r="V26">
        <f t="shared" ca="1" si="3"/>
        <v>1.94</v>
      </c>
      <c r="W26">
        <f t="shared" ca="1" si="4"/>
        <v>15670.9</v>
      </c>
    </row>
    <row r="27" spans="1:23" x14ac:dyDescent="0.3">
      <c r="A27" t="s">
        <v>99</v>
      </c>
      <c r="B27" t="s">
        <v>100</v>
      </c>
      <c r="C27">
        <v>2005</v>
      </c>
      <c r="D27">
        <v>49.75</v>
      </c>
      <c r="E27">
        <v>1.93</v>
      </c>
      <c r="F27">
        <v>15844.7</v>
      </c>
      <c r="G27">
        <v>187.98</v>
      </c>
      <c r="H27">
        <v>192.38</v>
      </c>
      <c r="I27">
        <v>5.3</v>
      </c>
      <c r="J27">
        <v>5.75</v>
      </c>
      <c r="K27">
        <v>41.3</v>
      </c>
      <c r="L27">
        <v>16.97</v>
      </c>
      <c r="M27">
        <v>3.91</v>
      </c>
      <c r="N27">
        <v>2.3199999999999998</v>
      </c>
      <c r="O27">
        <v>3.04</v>
      </c>
      <c r="P27" t="s">
        <v>49</v>
      </c>
      <c r="Q27" t="s">
        <v>49</v>
      </c>
      <c r="R27" t="e">
        <f t="shared" si="0"/>
        <v>#N/A</v>
      </c>
      <c r="S27" t="str">
        <f t="shared" si="1"/>
        <v/>
      </c>
      <c r="T27" s="17">
        <f t="shared" si="2"/>
        <v>1.1090620194117884E-2</v>
      </c>
      <c r="U27" t="s">
        <v>60</v>
      </c>
      <c r="V27">
        <f t="shared" ca="1" si="3"/>
        <v>1.93</v>
      </c>
      <c r="W27">
        <f t="shared" ca="1" si="4"/>
        <v>15844.7</v>
      </c>
    </row>
    <row r="28" spans="1:23" x14ac:dyDescent="0.3">
      <c r="A28" t="s">
        <v>101</v>
      </c>
      <c r="B28" t="s">
        <v>102</v>
      </c>
      <c r="C28">
        <v>2005</v>
      </c>
      <c r="D28">
        <v>53.03</v>
      </c>
      <c r="E28">
        <v>2.1800000000000002</v>
      </c>
      <c r="F28">
        <v>15922.8</v>
      </c>
      <c r="G28">
        <v>189.94</v>
      </c>
      <c r="H28">
        <v>193.67</v>
      </c>
      <c r="I28">
        <v>5.0999999999999996</v>
      </c>
      <c r="J28">
        <v>5.74</v>
      </c>
      <c r="K28">
        <v>38.42</v>
      </c>
      <c r="L28">
        <v>13.54</v>
      </c>
      <c r="M28">
        <v>3.62</v>
      </c>
      <c r="N28">
        <v>2.13</v>
      </c>
      <c r="O28">
        <v>2.92</v>
      </c>
      <c r="P28" t="s">
        <v>49</v>
      </c>
      <c r="Q28" t="s">
        <v>49</v>
      </c>
      <c r="R28" t="e">
        <f t="shared" si="0"/>
        <v>#N/A</v>
      </c>
      <c r="S28" t="str">
        <f t="shared" si="1"/>
        <v/>
      </c>
      <c r="T28" s="17">
        <f t="shared" si="2"/>
        <v>4.9290930090186702E-3</v>
      </c>
      <c r="U28" t="s">
        <v>60</v>
      </c>
      <c r="V28">
        <f t="shared" ca="1" si="3"/>
        <v>2.1800000000000002</v>
      </c>
      <c r="W28">
        <f t="shared" ca="1" si="4"/>
        <v>15922.8</v>
      </c>
    </row>
    <row r="29" spans="1:23" x14ac:dyDescent="0.3">
      <c r="A29" t="s">
        <v>103</v>
      </c>
      <c r="B29" t="s">
        <v>104</v>
      </c>
      <c r="C29">
        <v>2005</v>
      </c>
      <c r="D29">
        <v>63.3</v>
      </c>
      <c r="E29">
        <v>2.5499999999999998</v>
      </c>
      <c r="F29">
        <v>16047.6</v>
      </c>
      <c r="G29">
        <v>190</v>
      </c>
      <c r="H29">
        <v>196.62</v>
      </c>
      <c r="I29">
        <v>4.97</v>
      </c>
      <c r="J29">
        <v>5.74</v>
      </c>
      <c r="K29">
        <v>44.52</v>
      </c>
      <c r="L29">
        <v>34.92</v>
      </c>
      <c r="M29">
        <v>3.45</v>
      </c>
      <c r="N29">
        <v>1.67</v>
      </c>
      <c r="O29">
        <v>3.83</v>
      </c>
      <c r="P29" t="s">
        <v>105</v>
      </c>
      <c r="Q29" t="s">
        <v>106</v>
      </c>
      <c r="R29">
        <f t="shared" si="0"/>
        <v>2.5499999999999998</v>
      </c>
      <c r="S29" t="str">
        <f t="shared" si="1"/>
        <v>Hurricane Katrina Damage / Gulf Coast Refining Outage, Energy Policy Act of 2005 (Enacts Renewable Fuel Standard - RFS)</v>
      </c>
      <c r="T29" s="17">
        <f t="shared" si="2"/>
        <v>7.8378174692894653E-3</v>
      </c>
      <c r="U29" t="s">
        <v>60</v>
      </c>
      <c r="V29">
        <f t="shared" ca="1" si="3"/>
        <v>2.5499999999999998</v>
      </c>
      <c r="W29">
        <f t="shared" ca="1" si="4"/>
        <v>16047.6</v>
      </c>
    </row>
    <row r="30" spans="1:23" x14ac:dyDescent="0.3">
      <c r="A30" t="s">
        <v>107</v>
      </c>
      <c r="B30" t="s">
        <v>108</v>
      </c>
      <c r="C30">
        <v>2005</v>
      </c>
      <c r="D30">
        <v>60.04</v>
      </c>
      <c r="E30">
        <v>2.42</v>
      </c>
      <c r="F30">
        <v>16136.7</v>
      </c>
      <c r="G30">
        <v>191.23</v>
      </c>
      <c r="H30">
        <v>198.43</v>
      </c>
      <c r="I30">
        <v>4.97</v>
      </c>
      <c r="J30">
        <v>6.21</v>
      </c>
      <c r="K30">
        <v>24.67</v>
      </c>
      <c r="L30">
        <v>24.74</v>
      </c>
      <c r="M30">
        <v>2.97</v>
      </c>
      <c r="N30">
        <v>1.59</v>
      </c>
      <c r="O30">
        <v>3.67</v>
      </c>
      <c r="P30" t="s">
        <v>49</v>
      </c>
      <c r="Q30" t="s">
        <v>49</v>
      </c>
      <c r="R30" t="e">
        <f t="shared" si="0"/>
        <v>#N/A</v>
      </c>
      <c r="S30" t="str">
        <f t="shared" si="1"/>
        <v/>
      </c>
      <c r="T30" s="17">
        <f t="shared" si="2"/>
        <v>5.5522321094743088E-3</v>
      </c>
      <c r="U30" t="s">
        <v>60</v>
      </c>
      <c r="V30">
        <f t="shared" ca="1" si="3"/>
        <v>2.42</v>
      </c>
      <c r="W30">
        <f t="shared" ca="1" si="4"/>
        <v>16136.7</v>
      </c>
    </row>
    <row r="31" spans="1:23" x14ac:dyDescent="0.3">
      <c r="A31" t="s">
        <v>109</v>
      </c>
      <c r="B31" t="s">
        <v>110</v>
      </c>
      <c r="C31">
        <v>2006</v>
      </c>
      <c r="D31">
        <v>63.15</v>
      </c>
      <c r="E31">
        <v>2.34</v>
      </c>
      <c r="F31">
        <v>16353.8</v>
      </c>
      <c r="G31">
        <v>192.34</v>
      </c>
      <c r="H31">
        <v>199.47</v>
      </c>
      <c r="I31">
        <v>4.7300000000000004</v>
      </c>
      <c r="J31">
        <v>6.24</v>
      </c>
      <c r="K31">
        <v>26.93</v>
      </c>
      <c r="L31">
        <v>21.24</v>
      </c>
      <c r="M31">
        <v>3.21</v>
      </c>
      <c r="N31">
        <v>2.3199999999999998</v>
      </c>
      <c r="O31">
        <v>3.69</v>
      </c>
      <c r="P31" t="s">
        <v>49</v>
      </c>
      <c r="Q31" t="s">
        <v>49</v>
      </c>
      <c r="R31" t="e">
        <f t="shared" si="0"/>
        <v>#N/A</v>
      </c>
      <c r="S31" t="str">
        <f t="shared" si="1"/>
        <v/>
      </c>
      <c r="T31" s="17">
        <f t="shared" si="2"/>
        <v>1.3453804061549057E-2</v>
      </c>
      <c r="U31" t="s">
        <v>60</v>
      </c>
      <c r="V31">
        <f t="shared" ca="1" si="3"/>
        <v>2.34</v>
      </c>
      <c r="W31">
        <f t="shared" ca="1" si="4"/>
        <v>16353.8</v>
      </c>
    </row>
    <row r="32" spans="1:23" x14ac:dyDescent="0.3">
      <c r="A32" t="s">
        <v>111</v>
      </c>
      <c r="B32" t="s">
        <v>112</v>
      </c>
      <c r="C32">
        <v>2006</v>
      </c>
      <c r="D32">
        <v>70.39</v>
      </c>
      <c r="E32">
        <v>2.84</v>
      </c>
      <c r="F32">
        <v>16396.2</v>
      </c>
      <c r="G32">
        <v>192</v>
      </c>
      <c r="H32">
        <v>201.28</v>
      </c>
      <c r="I32">
        <v>4.63</v>
      </c>
      <c r="J32">
        <v>6.58</v>
      </c>
      <c r="K32">
        <v>32.74</v>
      </c>
      <c r="L32">
        <v>30.28</v>
      </c>
      <c r="M32">
        <v>2.97</v>
      </c>
      <c r="N32">
        <v>1.08</v>
      </c>
      <c r="O32">
        <v>3.93</v>
      </c>
      <c r="P32" t="s">
        <v>49</v>
      </c>
      <c r="Q32" t="s">
        <v>49</v>
      </c>
      <c r="R32" t="e">
        <f t="shared" si="0"/>
        <v>#N/A</v>
      </c>
      <c r="S32" t="str">
        <f t="shared" si="1"/>
        <v/>
      </c>
      <c r="T32" s="17">
        <f t="shared" si="2"/>
        <v>2.5926695936113742E-3</v>
      </c>
      <c r="U32" t="s">
        <v>60</v>
      </c>
      <c r="V32">
        <f t="shared" ca="1" si="3"/>
        <v>2.84</v>
      </c>
      <c r="W32">
        <f t="shared" ca="1" si="4"/>
        <v>16396.2</v>
      </c>
    </row>
    <row r="33" spans="1:23" x14ac:dyDescent="0.3">
      <c r="A33" t="s">
        <v>113</v>
      </c>
      <c r="B33" t="s">
        <v>114</v>
      </c>
      <c r="C33">
        <v>2006</v>
      </c>
      <c r="D33">
        <v>70.62</v>
      </c>
      <c r="E33">
        <v>2.84</v>
      </c>
      <c r="F33">
        <v>16420.7</v>
      </c>
      <c r="G33">
        <v>193.49</v>
      </c>
      <c r="H33">
        <v>203.18</v>
      </c>
      <c r="I33">
        <v>4.6399999999999997</v>
      </c>
      <c r="J33">
        <v>6.58</v>
      </c>
      <c r="K33">
        <v>11.56</v>
      </c>
      <c r="L33">
        <v>11.37</v>
      </c>
      <c r="M33">
        <v>2.3199999999999998</v>
      </c>
      <c r="N33">
        <v>1.84</v>
      </c>
      <c r="O33">
        <v>3.34</v>
      </c>
      <c r="P33" t="s">
        <v>115</v>
      </c>
      <c r="Q33" t="s">
        <v>49</v>
      </c>
      <c r="R33">
        <f t="shared" si="0"/>
        <v>2.84</v>
      </c>
      <c r="S33" t="str">
        <f t="shared" si="1"/>
        <v xml:space="preserve">Israel-Hezbollah War / Middle East Risk Premium Spike, </v>
      </c>
      <c r="T33" s="17">
        <f t="shared" si="2"/>
        <v>1.4942486673741318E-3</v>
      </c>
      <c r="U33" t="s">
        <v>60</v>
      </c>
      <c r="V33">
        <f t="shared" ca="1" si="3"/>
        <v>2.84</v>
      </c>
      <c r="W33">
        <f t="shared" ca="1" si="4"/>
        <v>16420.7</v>
      </c>
    </row>
    <row r="34" spans="1:23" x14ac:dyDescent="0.3">
      <c r="A34" t="s">
        <v>116</v>
      </c>
      <c r="B34" t="s">
        <v>117</v>
      </c>
      <c r="C34">
        <v>2006</v>
      </c>
      <c r="D34">
        <v>59.94</v>
      </c>
      <c r="E34">
        <v>2.2599999999999998</v>
      </c>
      <c r="F34">
        <v>16561.900000000001</v>
      </c>
      <c r="G34">
        <v>194.61</v>
      </c>
      <c r="H34">
        <v>202.32</v>
      </c>
      <c r="I34">
        <v>4.43</v>
      </c>
      <c r="J34">
        <v>6.25</v>
      </c>
      <c r="K34">
        <v>-0.17</v>
      </c>
      <c r="L34">
        <v>-6.61</v>
      </c>
      <c r="M34">
        <v>2.63</v>
      </c>
      <c r="N34">
        <v>1.77</v>
      </c>
      <c r="O34">
        <v>1.96</v>
      </c>
      <c r="P34" t="s">
        <v>49</v>
      </c>
      <c r="Q34" t="s">
        <v>49</v>
      </c>
      <c r="R34" t="e">
        <f t="shared" si="0"/>
        <v>#N/A</v>
      </c>
      <c r="S34" t="str">
        <f t="shared" si="1"/>
        <v/>
      </c>
      <c r="T34" s="17">
        <f t="shared" si="2"/>
        <v>8.598902604639358E-3</v>
      </c>
      <c r="U34" t="s">
        <v>60</v>
      </c>
      <c r="V34">
        <f t="shared" ca="1" si="3"/>
        <v>2.2599999999999998</v>
      </c>
      <c r="W34">
        <f t="shared" ca="1" si="4"/>
        <v>16561.900000000001</v>
      </c>
    </row>
    <row r="35" spans="1:23" x14ac:dyDescent="0.3">
      <c r="A35" t="s">
        <v>118</v>
      </c>
      <c r="B35" t="s">
        <v>119</v>
      </c>
      <c r="C35">
        <v>2007</v>
      </c>
      <c r="D35">
        <v>58.06</v>
      </c>
      <c r="E35">
        <v>2.35</v>
      </c>
      <c r="F35">
        <v>16611.7</v>
      </c>
      <c r="G35">
        <v>197.46</v>
      </c>
      <c r="H35">
        <v>204.31</v>
      </c>
      <c r="I35">
        <v>4.5</v>
      </c>
      <c r="J35">
        <v>6.22</v>
      </c>
      <c r="K35">
        <v>-8.06</v>
      </c>
      <c r="L35">
        <v>0.43</v>
      </c>
      <c r="M35">
        <v>1.58</v>
      </c>
      <c r="N35">
        <v>2.66</v>
      </c>
      <c r="O35">
        <v>2.4300000000000002</v>
      </c>
      <c r="P35" t="s">
        <v>49</v>
      </c>
      <c r="Q35" t="s">
        <v>49</v>
      </c>
      <c r="R35" t="e">
        <f t="shared" si="0"/>
        <v>#N/A</v>
      </c>
      <c r="S35" t="str">
        <f t="shared" si="1"/>
        <v/>
      </c>
      <c r="T35" s="17">
        <f t="shared" si="2"/>
        <v>3.0069013820877011E-3</v>
      </c>
      <c r="U35" t="s">
        <v>60</v>
      </c>
      <c r="V35">
        <f t="shared" ca="1" si="3"/>
        <v>2.35</v>
      </c>
      <c r="W35">
        <f t="shared" ca="1" si="4"/>
        <v>16611.7</v>
      </c>
    </row>
    <row r="36" spans="1:23" x14ac:dyDescent="0.3">
      <c r="A36" t="s">
        <v>120</v>
      </c>
      <c r="B36" t="s">
        <v>121</v>
      </c>
      <c r="C36">
        <v>2007</v>
      </c>
      <c r="D36">
        <v>64.959999999999994</v>
      </c>
      <c r="E36">
        <v>3</v>
      </c>
      <c r="F36">
        <v>16713.3</v>
      </c>
      <c r="G36">
        <v>200.2</v>
      </c>
      <c r="H36">
        <v>206.62</v>
      </c>
      <c r="I36">
        <v>4.5</v>
      </c>
      <c r="J36">
        <v>6.33</v>
      </c>
      <c r="K36">
        <v>-7.71</v>
      </c>
      <c r="L36">
        <v>5.63</v>
      </c>
      <c r="M36">
        <v>1.93</v>
      </c>
      <c r="N36">
        <v>4.2699999999999996</v>
      </c>
      <c r="O36">
        <v>2.65</v>
      </c>
      <c r="P36" t="s">
        <v>122</v>
      </c>
      <c r="Q36" t="s">
        <v>49</v>
      </c>
      <c r="R36">
        <f t="shared" si="0"/>
        <v>3</v>
      </c>
      <c r="S36" t="str">
        <f t="shared" si="1"/>
        <v xml:space="preserve">Subprime Mortgage Crisis Onset / Peak Speculative Inflow, </v>
      </c>
      <c r="T36" s="17">
        <f t="shared" si="2"/>
        <v>6.1161711323944878E-3</v>
      </c>
      <c r="U36" t="s">
        <v>60</v>
      </c>
      <c r="V36">
        <f t="shared" ca="1" si="3"/>
        <v>3</v>
      </c>
      <c r="W36">
        <f t="shared" ca="1" si="4"/>
        <v>16713.3</v>
      </c>
    </row>
    <row r="37" spans="1:23" x14ac:dyDescent="0.3">
      <c r="A37" t="s">
        <v>123</v>
      </c>
      <c r="B37" t="s">
        <v>124</v>
      </c>
      <c r="C37">
        <v>2007</v>
      </c>
      <c r="D37">
        <v>75.06</v>
      </c>
      <c r="E37">
        <v>2.86</v>
      </c>
      <c r="F37">
        <v>16809.599999999999</v>
      </c>
      <c r="G37">
        <v>202.38</v>
      </c>
      <c r="H37">
        <v>207.92</v>
      </c>
      <c r="I37">
        <v>4.67</v>
      </c>
      <c r="J37">
        <v>6.56</v>
      </c>
      <c r="K37">
        <v>6.29</v>
      </c>
      <c r="L37">
        <v>0.7</v>
      </c>
      <c r="M37">
        <v>2.37</v>
      </c>
      <c r="N37">
        <v>4.59</v>
      </c>
      <c r="O37">
        <v>2.33</v>
      </c>
      <c r="P37" t="s">
        <v>49</v>
      </c>
      <c r="Q37" t="s">
        <v>49</v>
      </c>
      <c r="R37" t="e">
        <f t="shared" si="0"/>
        <v>#N/A</v>
      </c>
      <c r="S37" t="str">
        <f t="shared" si="1"/>
        <v/>
      </c>
      <c r="T37" s="17">
        <f t="shared" si="2"/>
        <v>5.7618782646156053E-3</v>
      </c>
      <c r="U37" t="s">
        <v>60</v>
      </c>
      <c r="V37">
        <f t="shared" ca="1" si="3"/>
        <v>2.86</v>
      </c>
      <c r="W37">
        <f t="shared" ca="1" si="4"/>
        <v>16809.599999999999</v>
      </c>
    </row>
    <row r="38" spans="1:23" x14ac:dyDescent="0.3">
      <c r="A38" t="s">
        <v>125</v>
      </c>
      <c r="B38" t="s">
        <v>126</v>
      </c>
      <c r="C38">
        <v>2007</v>
      </c>
      <c r="D38">
        <v>90.72</v>
      </c>
      <c r="E38">
        <v>2.96</v>
      </c>
      <c r="F38">
        <v>16915.2</v>
      </c>
      <c r="G38">
        <v>204.89</v>
      </c>
      <c r="H38">
        <v>210.47</v>
      </c>
      <c r="I38">
        <v>4.8</v>
      </c>
      <c r="J38">
        <v>6.23</v>
      </c>
      <c r="K38">
        <v>51.35</v>
      </c>
      <c r="L38">
        <v>30.97</v>
      </c>
      <c r="M38">
        <v>2.13</v>
      </c>
      <c r="N38">
        <v>5.28</v>
      </c>
      <c r="O38">
        <v>4.03</v>
      </c>
      <c r="P38" t="s">
        <v>49</v>
      </c>
      <c r="Q38" t="s">
        <v>127</v>
      </c>
      <c r="R38">
        <f t="shared" si="0"/>
        <v>2.96</v>
      </c>
      <c r="S38" t="str">
        <f t="shared" si="1"/>
        <v>Energy Independence and Security Act of 2007 (CAFE Mileage Bump)</v>
      </c>
      <c r="T38" s="17">
        <f t="shared" si="2"/>
        <v>6.2821245002857573E-3</v>
      </c>
      <c r="U38" t="s">
        <v>60</v>
      </c>
      <c r="V38">
        <f t="shared" ca="1" si="3"/>
        <v>2.96</v>
      </c>
      <c r="W38">
        <f t="shared" ca="1" si="4"/>
        <v>16915.2</v>
      </c>
    </row>
    <row r="39" spans="1:23" x14ac:dyDescent="0.3">
      <c r="A39" t="s">
        <v>128</v>
      </c>
      <c r="B39" t="s">
        <v>129</v>
      </c>
      <c r="C39">
        <v>2008</v>
      </c>
      <c r="D39">
        <v>97.81</v>
      </c>
      <c r="E39">
        <v>3.1</v>
      </c>
      <c r="F39">
        <v>16843</v>
      </c>
      <c r="G39">
        <v>207.67</v>
      </c>
      <c r="H39">
        <v>212.76</v>
      </c>
      <c r="I39">
        <v>5</v>
      </c>
      <c r="J39">
        <v>5.89</v>
      </c>
      <c r="K39">
        <v>68.459999999999994</v>
      </c>
      <c r="L39">
        <v>31.91</v>
      </c>
      <c r="M39">
        <v>1.39</v>
      </c>
      <c r="N39">
        <v>5.17</v>
      </c>
      <c r="O39">
        <v>4.1399999999999997</v>
      </c>
      <c r="P39" t="s">
        <v>49</v>
      </c>
      <c r="Q39" t="s">
        <v>49</v>
      </c>
      <c r="R39" t="e">
        <f t="shared" ref="R39:R70" si="5">IF(AND(OR(P$4=FALSE, P39="None"), OR(Q$4=FALSE, Q39="None")), NA(), E39)</f>
        <v>#N/A</v>
      </c>
      <c r="S39" t="str">
        <f t="shared" ref="S39:S70" si="6">IF(AND(P39="None",Q39="None"),"",IF(AND(P$4=TRUE,P39&lt;&gt;"None"),P39&amp;", ","")&amp;IF(AND(Q$4=TRUE,Q39&lt;&gt;"None"),Q39,""))</f>
        <v/>
      </c>
      <c r="T39" s="17">
        <f t="shared" ref="T39:T70" si="7">IF(F39="",NA(),IFERROR(F39/F38-1,NA()))</f>
        <v>-4.2683503594400651E-3</v>
      </c>
      <c r="U39" t="s">
        <v>60</v>
      </c>
      <c r="V39">
        <f t="shared" ref="V39:V70" ca="1" si="8">INDIRECT(ADDRESS(ROW(),$F$3))</f>
        <v>3.1</v>
      </c>
      <c r="W39">
        <f t="shared" ref="W39:W70" ca="1" si="9">INDIRECT(ADDRESS(ROW(),$F$4))</f>
        <v>16843</v>
      </c>
    </row>
    <row r="40" spans="1:23" x14ac:dyDescent="0.3">
      <c r="A40" t="s">
        <v>130</v>
      </c>
      <c r="B40" t="s">
        <v>131</v>
      </c>
      <c r="C40">
        <v>2008</v>
      </c>
      <c r="D40">
        <v>123.95</v>
      </c>
      <c r="E40">
        <v>3.74</v>
      </c>
      <c r="F40">
        <v>16943.3</v>
      </c>
      <c r="G40">
        <v>212.01</v>
      </c>
      <c r="H40">
        <v>215.54</v>
      </c>
      <c r="I40">
        <v>5.33</v>
      </c>
      <c r="J40">
        <v>6.07</v>
      </c>
      <c r="K40">
        <v>90.81</v>
      </c>
      <c r="L40">
        <v>24.67</v>
      </c>
      <c r="M40">
        <v>1.38</v>
      </c>
      <c r="N40">
        <v>5.9</v>
      </c>
      <c r="O40">
        <v>4.32</v>
      </c>
      <c r="P40" t="s">
        <v>49</v>
      </c>
      <c r="Q40" t="s">
        <v>49</v>
      </c>
      <c r="R40" t="e">
        <f t="shared" si="5"/>
        <v>#N/A</v>
      </c>
      <c r="S40" t="str">
        <f t="shared" si="6"/>
        <v/>
      </c>
      <c r="T40" s="17">
        <f t="shared" si="7"/>
        <v>5.95499614083006E-3</v>
      </c>
      <c r="U40" t="s">
        <v>60</v>
      </c>
      <c r="V40">
        <f t="shared" ca="1" si="8"/>
        <v>3.74</v>
      </c>
      <c r="W40">
        <f t="shared" ca="1" si="9"/>
        <v>16943.3</v>
      </c>
    </row>
    <row r="41" spans="1:23" x14ac:dyDescent="0.3">
      <c r="A41" t="s">
        <v>132</v>
      </c>
      <c r="B41" t="s">
        <v>133</v>
      </c>
      <c r="C41">
        <v>2008</v>
      </c>
      <c r="D41">
        <v>118.66</v>
      </c>
      <c r="E41">
        <v>3.86</v>
      </c>
      <c r="F41">
        <v>16854.3</v>
      </c>
      <c r="G41">
        <v>217.39</v>
      </c>
      <c r="H41">
        <v>218.87</v>
      </c>
      <c r="I41">
        <v>6</v>
      </c>
      <c r="J41">
        <v>6.33</v>
      </c>
      <c r="K41">
        <v>58.09</v>
      </c>
      <c r="L41">
        <v>34.97</v>
      </c>
      <c r="M41">
        <v>0.27</v>
      </c>
      <c r="N41">
        <v>7.42</v>
      </c>
      <c r="O41">
        <v>5.27</v>
      </c>
      <c r="P41" t="s">
        <v>134</v>
      </c>
      <c r="Q41" t="s">
        <v>49</v>
      </c>
      <c r="R41">
        <f t="shared" si="5"/>
        <v>3.86</v>
      </c>
      <c r="S41" t="str">
        <f t="shared" si="6"/>
        <v xml:space="preserve">WTI Crude Hits All-Time Peak ($147.27/bbl) / Commodity Bubble, </v>
      </c>
      <c r="T41" s="17">
        <f t="shared" si="7"/>
        <v>-5.2528137966039168E-3</v>
      </c>
      <c r="U41" t="s">
        <v>60</v>
      </c>
      <c r="V41">
        <f t="shared" ca="1" si="8"/>
        <v>3.86</v>
      </c>
      <c r="W41">
        <f t="shared" ca="1" si="9"/>
        <v>16854.3</v>
      </c>
    </row>
    <row r="42" spans="1:23" x14ac:dyDescent="0.3">
      <c r="A42" t="s">
        <v>135</v>
      </c>
      <c r="B42" t="s">
        <v>136</v>
      </c>
      <c r="C42">
        <v>2008</v>
      </c>
      <c r="D42">
        <v>58.37</v>
      </c>
      <c r="E42">
        <v>2.34</v>
      </c>
      <c r="F42">
        <v>16485.400000000001</v>
      </c>
      <c r="G42">
        <v>219.45</v>
      </c>
      <c r="H42">
        <v>213.87</v>
      </c>
      <c r="I42">
        <v>6.87</v>
      </c>
      <c r="J42">
        <v>5.91</v>
      </c>
      <c r="K42">
        <v>-35.659999999999997</v>
      </c>
      <c r="L42">
        <v>-20.95</v>
      </c>
      <c r="M42">
        <v>-2.54</v>
      </c>
      <c r="N42">
        <v>7.11</v>
      </c>
      <c r="O42">
        <v>1.62</v>
      </c>
      <c r="P42" t="s">
        <v>137</v>
      </c>
      <c r="Q42" t="s">
        <v>138</v>
      </c>
      <c r="R42">
        <f t="shared" si="5"/>
        <v>2.34</v>
      </c>
      <c r="S42" t="str">
        <f t="shared" si="6"/>
        <v>Lehman Collapse / Global Financial Crisis Crash, Emergency Economic Stabilization Act of 2008</v>
      </c>
      <c r="T42" s="17">
        <f t="shared" si="7"/>
        <v>-2.1887589517215034E-2</v>
      </c>
      <c r="U42" t="s">
        <v>60</v>
      </c>
      <c r="V42">
        <f t="shared" ca="1" si="8"/>
        <v>2.34</v>
      </c>
      <c r="W42">
        <f t="shared" ca="1" si="9"/>
        <v>16485.400000000001</v>
      </c>
    </row>
    <row r="43" spans="1:23" x14ac:dyDescent="0.3">
      <c r="A43" t="s">
        <v>139</v>
      </c>
      <c r="B43" t="s">
        <v>140</v>
      </c>
      <c r="C43">
        <v>2009</v>
      </c>
      <c r="D43">
        <v>42.95</v>
      </c>
      <c r="E43">
        <v>1.88</v>
      </c>
      <c r="F43">
        <v>16298.3</v>
      </c>
      <c r="G43">
        <v>217.93</v>
      </c>
      <c r="H43">
        <v>212.37</v>
      </c>
      <c r="I43">
        <v>8.27</v>
      </c>
      <c r="J43">
        <v>5.07</v>
      </c>
      <c r="K43">
        <v>-56.09</v>
      </c>
      <c r="L43">
        <v>-39.35</v>
      </c>
      <c r="M43">
        <v>-3.23</v>
      </c>
      <c r="N43">
        <v>4.9400000000000004</v>
      </c>
      <c r="O43">
        <v>-0.18</v>
      </c>
      <c r="P43" t="s">
        <v>141</v>
      </c>
      <c r="Q43" t="s">
        <v>142</v>
      </c>
      <c r="R43">
        <f t="shared" si="5"/>
        <v>1.88</v>
      </c>
      <c r="S43" t="str">
        <f t="shared" si="6"/>
        <v>OPEC Record Production Cuts / Global Recession Floor, American Recovery and Reinvestment Act (ARRA $90B Green Energy Package)</v>
      </c>
      <c r="T43" s="17">
        <f t="shared" si="7"/>
        <v>-1.1349436471059349E-2</v>
      </c>
      <c r="U43" t="s">
        <v>143</v>
      </c>
      <c r="V43">
        <f t="shared" ca="1" si="8"/>
        <v>1.88</v>
      </c>
      <c r="W43">
        <f t="shared" ca="1" si="9"/>
        <v>16298.3</v>
      </c>
    </row>
    <row r="44" spans="1:23" x14ac:dyDescent="0.3">
      <c r="A44" t="s">
        <v>144</v>
      </c>
      <c r="B44" t="s">
        <v>145</v>
      </c>
      <c r="C44">
        <v>2009</v>
      </c>
      <c r="D44">
        <v>59.52</v>
      </c>
      <c r="E44">
        <v>2.31</v>
      </c>
      <c r="F44">
        <v>16269.1</v>
      </c>
      <c r="G44">
        <v>215.28</v>
      </c>
      <c r="H44">
        <v>213.51</v>
      </c>
      <c r="I44">
        <v>9.3000000000000007</v>
      </c>
      <c r="J44">
        <v>5</v>
      </c>
      <c r="K44">
        <v>-51.98</v>
      </c>
      <c r="L44">
        <v>-38.24</v>
      </c>
      <c r="M44">
        <v>-3.98</v>
      </c>
      <c r="N44">
        <v>1.54</v>
      </c>
      <c r="O44">
        <v>-0.94</v>
      </c>
      <c r="P44" t="s">
        <v>49</v>
      </c>
      <c r="Q44" t="s">
        <v>49</v>
      </c>
      <c r="R44" t="e">
        <f t="shared" si="5"/>
        <v>#N/A</v>
      </c>
      <c r="S44" t="str">
        <f t="shared" si="6"/>
        <v/>
      </c>
      <c r="T44" s="17">
        <f t="shared" si="7"/>
        <v>-1.7915978967131263E-3</v>
      </c>
      <c r="U44" t="s">
        <v>143</v>
      </c>
      <c r="V44">
        <f t="shared" ca="1" si="8"/>
        <v>2.31</v>
      </c>
      <c r="W44">
        <f t="shared" ca="1" si="9"/>
        <v>16269.1</v>
      </c>
    </row>
    <row r="45" spans="1:23" x14ac:dyDescent="0.3">
      <c r="A45" t="s">
        <v>146</v>
      </c>
      <c r="B45" t="s">
        <v>147</v>
      </c>
      <c r="C45">
        <v>2009</v>
      </c>
      <c r="D45">
        <v>68.13</v>
      </c>
      <c r="E45">
        <v>2.57</v>
      </c>
      <c r="F45">
        <v>16326.3</v>
      </c>
      <c r="G45">
        <v>213.71</v>
      </c>
      <c r="H45">
        <v>215.33</v>
      </c>
      <c r="I45">
        <v>9.6300000000000008</v>
      </c>
      <c r="J45">
        <v>5.17</v>
      </c>
      <c r="K45">
        <v>-42.58</v>
      </c>
      <c r="L45">
        <v>-33.42</v>
      </c>
      <c r="M45">
        <v>-3.13</v>
      </c>
      <c r="N45">
        <v>-1.69</v>
      </c>
      <c r="O45">
        <v>-1.62</v>
      </c>
      <c r="P45" t="s">
        <v>49</v>
      </c>
      <c r="Q45" t="s">
        <v>49</v>
      </c>
      <c r="R45" t="e">
        <f t="shared" si="5"/>
        <v>#N/A</v>
      </c>
      <c r="S45" t="str">
        <f t="shared" si="6"/>
        <v/>
      </c>
      <c r="T45" s="17">
        <f t="shared" si="7"/>
        <v>3.5158675034265841E-3</v>
      </c>
      <c r="U45" t="s">
        <v>143</v>
      </c>
      <c r="V45">
        <f t="shared" ca="1" si="8"/>
        <v>2.57</v>
      </c>
      <c r="W45">
        <f t="shared" ca="1" si="9"/>
        <v>16326.3</v>
      </c>
    </row>
    <row r="46" spans="1:23" x14ac:dyDescent="0.3">
      <c r="A46" t="s">
        <v>148</v>
      </c>
      <c r="B46" t="s">
        <v>149</v>
      </c>
      <c r="C46">
        <v>2009</v>
      </c>
      <c r="D46">
        <v>76.040000000000006</v>
      </c>
      <c r="E46">
        <v>2.6</v>
      </c>
      <c r="F46">
        <v>16502.8</v>
      </c>
      <c r="G46">
        <v>213.57</v>
      </c>
      <c r="H46">
        <v>217.03</v>
      </c>
      <c r="I46">
        <v>9.93</v>
      </c>
      <c r="J46">
        <v>4.91</v>
      </c>
      <c r="K46">
        <v>30.27</v>
      </c>
      <c r="L46">
        <v>11.11</v>
      </c>
      <c r="M46">
        <v>0.11</v>
      </c>
      <c r="N46">
        <v>-2.68</v>
      </c>
      <c r="O46">
        <v>1.48</v>
      </c>
      <c r="P46" t="s">
        <v>49</v>
      </c>
      <c r="Q46" t="s">
        <v>49</v>
      </c>
      <c r="R46" t="e">
        <f t="shared" si="5"/>
        <v>#N/A</v>
      </c>
      <c r="S46" t="str">
        <f t="shared" si="6"/>
        <v/>
      </c>
      <c r="T46" s="17">
        <f t="shared" si="7"/>
        <v>1.0810777702235042E-2</v>
      </c>
      <c r="U46" t="s">
        <v>143</v>
      </c>
      <c r="V46">
        <f t="shared" ca="1" si="8"/>
        <v>2.6</v>
      </c>
      <c r="W46">
        <f t="shared" ca="1" si="9"/>
        <v>16502.8</v>
      </c>
    </row>
    <row r="47" spans="1:23" x14ac:dyDescent="0.3">
      <c r="A47" t="s">
        <v>150</v>
      </c>
      <c r="B47" t="s">
        <v>151</v>
      </c>
      <c r="C47">
        <v>2010</v>
      </c>
      <c r="D47">
        <v>78.73</v>
      </c>
      <c r="E47">
        <v>2.71</v>
      </c>
      <c r="F47">
        <v>16582.7</v>
      </c>
      <c r="G47">
        <v>215.03</v>
      </c>
      <c r="H47">
        <v>217.37</v>
      </c>
      <c r="I47">
        <v>9.84</v>
      </c>
      <c r="J47">
        <v>5</v>
      </c>
      <c r="K47">
        <v>83.31</v>
      </c>
      <c r="L47">
        <v>44.15</v>
      </c>
      <c r="M47">
        <v>1.74</v>
      </c>
      <c r="N47">
        <v>-1.33</v>
      </c>
      <c r="O47">
        <v>2.35</v>
      </c>
      <c r="P47" t="s">
        <v>49</v>
      </c>
      <c r="Q47" t="s">
        <v>49</v>
      </c>
      <c r="R47" t="e">
        <f t="shared" si="5"/>
        <v>#N/A</v>
      </c>
      <c r="S47" t="str">
        <f t="shared" si="6"/>
        <v/>
      </c>
      <c r="T47" s="17">
        <f t="shared" si="7"/>
        <v>4.841602637128295E-3</v>
      </c>
      <c r="U47" t="s">
        <v>143</v>
      </c>
      <c r="V47">
        <f t="shared" ca="1" si="8"/>
        <v>2.71</v>
      </c>
      <c r="W47">
        <f t="shared" ca="1" si="9"/>
        <v>16582.7</v>
      </c>
    </row>
    <row r="48" spans="1:23" x14ac:dyDescent="0.3">
      <c r="A48" t="s">
        <v>152</v>
      </c>
      <c r="B48" t="s">
        <v>153</v>
      </c>
      <c r="C48">
        <v>2010</v>
      </c>
      <c r="D48">
        <v>77.98</v>
      </c>
      <c r="E48">
        <v>2.81</v>
      </c>
      <c r="F48">
        <v>16743.2</v>
      </c>
      <c r="G48">
        <v>215.64</v>
      </c>
      <c r="H48">
        <v>217.3</v>
      </c>
      <c r="I48">
        <v>9.6300000000000008</v>
      </c>
      <c r="J48">
        <v>4.92</v>
      </c>
      <c r="K48">
        <v>31.01</v>
      </c>
      <c r="L48">
        <v>21.65</v>
      </c>
      <c r="M48">
        <v>2.91</v>
      </c>
      <c r="N48">
        <v>0.17</v>
      </c>
      <c r="O48">
        <v>1.78</v>
      </c>
      <c r="P48" t="s">
        <v>154</v>
      </c>
      <c r="Q48" t="s">
        <v>49</v>
      </c>
      <c r="R48">
        <f t="shared" si="5"/>
        <v>2.81</v>
      </c>
      <c r="S48" t="str">
        <f t="shared" si="6"/>
        <v xml:space="preserve">Deepwater Horizon Oil Spill in Gulf of Mexico, </v>
      </c>
      <c r="T48" s="17">
        <f t="shared" si="7"/>
        <v>9.6787616009454958E-3</v>
      </c>
      <c r="U48" t="s">
        <v>143</v>
      </c>
      <c r="V48">
        <f t="shared" ca="1" si="8"/>
        <v>2.81</v>
      </c>
      <c r="W48">
        <f t="shared" ca="1" si="9"/>
        <v>16743.2</v>
      </c>
    </row>
    <row r="49" spans="1:23" x14ac:dyDescent="0.3">
      <c r="A49" t="s">
        <v>155</v>
      </c>
      <c r="B49" t="s">
        <v>156</v>
      </c>
      <c r="C49">
        <v>2010</v>
      </c>
      <c r="D49">
        <v>76.02</v>
      </c>
      <c r="E49">
        <v>2.72</v>
      </c>
      <c r="F49">
        <v>16872.3</v>
      </c>
      <c r="G49">
        <v>215.65</v>
      </c>
      <c r="H49">
        <v>217.93</v>
      </c>
      <c r="I49">
        <v>9.4700000000000006</v>
      </c>
      <c r="J49">
        <v>4.46</v>
      </c>
      <c r="K49">
        <v>11.58</v>
      </c>
      <c r="L49">
        <v>5.84</v>
      </c>
      <c r="M49">
        <v>3.34</v>
      </c>
      <c r="N49">
        <v>0.91</v>
      </c>
      <c r="O49">
        <v>1.21</v>
      </c>
      <c r="P49" t="s">
        <v>49</v>
      </c>
      <c r="Q49" t="s">
        <v>157</v>
      </c>
      <c r="R49">
        <f t="shared" si="5"/>
        <v>2.72</v>
      </c>
      <c r="S49" t="str">
        <f t="shared" si="6"/>
        <v>Dodd-Frank Wall Street Reform Act (Speculative Commodities Limits)</v>
      </c>
      <c r="T49" s="17">
        <f t="shared" si="7"/>
        <v>7.7105929571408272E-3</v>
      </c>
      <c r="U49" t="s">
        <v>143</v>
      </c>
      <c r="V49">
        <f t="shared" ca="1" si="8"/>
        <v>2.72</v>
      </c>
      <c r="W49">
        <f t="shared" ca="1" si="9"/>
        <v>16872.3</v>
      </c>
    </row>
    <row r="50" spans="1:23" x14ac:dyDescent="0.3">
      <c r="A50" t="s">
        <v>158</v>
      </c>
      <c r="B50" t="s">
        <v>159</v>
      </c>
      <c r="C50">
        <v>2010</v>
      </c>
      <c r="D50">
        <v>85.22</v>
      </c>
      <c r="E50">
        <v>2.88</v>
      </c>
      <c r="F50">
        <v>16960.900000000001</v>
      </c>
      <c r="G50">
        <v>217.03</v>
      </c>
      <c r="H50">
        <v>219.72</v>
      </c>
      <c r="I50">
        <v>9.5</v>
      </c>
      <c r="J50">
        <v>4.41</v>
      </c>
      <c r="K50">
        <v>12.07</v>
      </c>
      <c r="L50">
        <v>10.77</v>
      </c>
      <c r="M50">
        <v>2.78</v>
      </c>
      <c r="N50">
        <v>1.62</v>
      </c>
      <c r="O50">
        <v>1.24</v>
      </c>
      <c r="P50" t="s">
        <v>49</v>
      </c>
      <c r="Q50" t="s">
        <v>49</v>
      </c>
      <c r="R50" t="e">
        <f t="shared" si="5"/>
        <v>#N/A</v>
      </c>
      <c r="S50" t="str">
        <f t="shared" si="6"/>
        <v/>
      </c>
      <c r="T50" s="17">
        <f t="shared" si="7"/>
        <v>5.2512105640607487E-3</v>
      </c>
      <c r="U50" t="s">
        <v>143</v>
      </c>
      <c r="V50">
        <f t="shared" ca="1" si="8"/>
        <v>2.88</v>
      </c>
      <c r="W50">
        <f t="shared" ca="1" si="9"/>
        <v>16960.900000000001</v>
      </c>
    </row>
    <row r="51" spans="1:23" x14ac:dyDescent="0.3">
      <c r="A51" t="s">
        <v>160</v>
      </c>
      <c r="B51" t="s">
        <v>161</v>
      </c>
      <c r="C51">
        <v>2011</v>
      </c>
      <c r="D51">
        <v>93.85</v>
      </c>
      <c r="E51">
        <v>3.27</v>
      </c>
      <c r="F51">
        <v>16920.599999999999</v>
      </c>
      <c r="G51">
        <v>221.1</v>
      </c>
      <c r="H51">
        <v>222.06</v>
      </c>
      <c r="I51">
        <v>9.0299999999999994</v>
      </c>
      <c r="J51">
        <v>4.8499999999999996</v>
      </c>
      <c r="K51">
        <v>19.2</v>
      </c>
      <c r="L51">
        <v>20.66</v>
      </c>
      <c r="M51">
        <v>2.04</v>
      </c>
      <c r="N51">
        <v>2.82</v>
      </c>
      <c r="O51">
        <v>2.16</v>
      </c>
      <c r="P51" t="s">
        <v>162</v>
      </c>
      <c r="Q51" t="s">
        <v>163</v>
      </c>
      <c r="R51">
        <f t="shared" si="5"/>
        <v>3.27</v>
      </c>
      <c r="S51" t="str">
        <f t="shared" si="6"/>
        <v>Arab Spring Uprisings / Libyan Civil War Oil Outage, US Imposes Comprehensive Iranian Sanctions (CISADA)</v>
      </c>
      <c r="T51" s="17">
        <f t="shared" si="7"/>
        <v>-2.3760531575566235E-3</v>
      </c>
      <c r="U51" t="s">
        <v>143</v>
      </c>
      <c r="V51">
        <f t="shared" ca="1" si="8"/>
        <v>3.27</v>
      </c>
      <c r="W51">
        <f t="shared" ca="1" si="9"/>
        <v>16920.599999999999</v>
      </c>
    </row>
    <row r="52" spans="1:23" x14ac:dyDescent="0.3">
      <c r="A52" t="s">
        <v>164</v>
      </c>
      <c r="B52" t="s">
        <v>165</v>
      </c>
      <c r="C52">
        <v>2011</v>
      </c>
      <c r="D52">
        <v>102.32</v>
      </c>
      <c r="E52">
        <v>3.81</v>
      </c>
      <c r="F52">
        <v>17035.099999999999</v>
      </c>
      <c r="G52">
        <v>225.1</v>
      </c>
      <c r="H52">
        <v>224.58</v>
      </c>
      <c r="I52">
        <v>9.07</v>
      </c>
      <c r="J52">
        <v>4.67</v>
      </c>
      <c r="K52">
        <v>31.21</v>
      </c>
      <c r="L52">
        <v>35.590000000000003</v>
      </c>
      <c r="M52">
        <v>1.74</v>
      </c>
      <c r="N52">
        <v>4.3899999999999997</v>
      </c>
      <c r="O52">
        <v>3.35</v>
      </c>
      <c r="P52" t="s">
        <v>49</v>
      </c>
      <c r="Q52" t="s">
        <v>49</v>
      </c>
      <c r="R52" t="e">
        <f t="shared" si="5"/>
        <v>#N/A</v>
      </c>
      <c r="S52" t="str">
        <f t="shared" si="6"/>
        <v/>
      </c>
      <c r="T52" s="17">
        <f t="shared" si="7"/>
        <v>6.7668995189296144E-3</v>
      </c>
      <c r="U52" t="s">
        <v>143</v>
      </c>
      <c r="V52">
        <f t="shared" ca="1" si="8"/>
        <v>3.81</v>
      </c>
      <c r="W52">
        <f t="shared" ca="1" si="9"/>
        <v>17035.099999999999</v>
      </c>
    </row>
    <row r="53" spans="1:23" x14ac:dyDescent="0.3">
      <c r="A53" t="s">
        <v>166</v>
      </c>
      <c r="B53" t="s">
        <v>167</v>
      </c>
      <c r="C53">
        <v>2011</v>
      </c>
      <c r="D53">
        <v>89.53</v>
      </c>
      <c r="E53">
        <v>3.63</v>
      </c>
      <c r="F53">
        <v>17031.3</v>
      </c>
      <c r="G53">
        <v>228.55</v>
      </c>
      <c r="H53">
        <v>226.04</v>
      </c>
      <c r="I53">
        <v>9</v>
      </c>
      <c r="J53">
        <v>4.32</v>
      </c>
      <c r="K53">
        <v>17.77</v>
      </c>
      <c r="L53">
        <v>33.46</v>
      </c>
      <c r="M53">
        <v>0.94</v>
      </c>
      <c r="N53">
        <v>5.98</v>
      </c>
      <c r="O53">
        <v>3.72</v>
      </c>
      <c r="P53" t="s">
        <v>49</v>
      </c>
      <c r="Q53" t="s">
        <v>49</v>
      </c>
      <c r="R53" t="e">
        <f t="shared" si="5"/>
        <v>#N/A</v>
      </c>
      <c r="S53" t="str">
        <f t="shared" si="6"/>
        <v/>
      </c>
      <c r="T53" s="17">
        <f t="shared" si="7"/>
        <v>-2.2306884021805473E-4</v>
      </c>
      <c r="U53" t="s">
        <v>143</v>
      </c>
      <c r="V53">
        <f t="shared" ca="1" si="8"/>
        <v>3.63</v>
      </c>
      <c r="W53">
        <f t="shared" ca="1" si="9"/>
        <v>17031.3</v>
      </c>
    </row>
    <row r="54" spans="1:23" x14ac:dyDescent="0.3">
      <c r="A54" t="s">
        <v>168</v>
      </c>
      <c r="B54" t="s">
        <v>169</v>
      </c>
      <c r="C54">
        <v>2011</v>
      </c>
      <c r="D54">
        <v>93.91</v>
      </c>
      <c r="E54">
        <v>3.37</v>
      </c>
      <c r="F54">
        <v>17222.599999999999</v>
      </c>
      <c r="G54">
        <v>230.12</v>
      </c>
      <c r="H54">
        <v>227.05</v>
      </c>
      <c r="I54">
        <v>8.6300000000000008</v>
      </c>
      <c r="J54">
        <v>4</v>
      </c>
      <c r="K54">
        <v>10.199999999999999</v>
      </c>
      <c r="L54">
        <v>17.010000000000002</v>
      </c>
      <c r="M54">
        <v>1.54</v>
      </c>
      <c r="N54">
        <v>6.03</v>
      </c>
      <c r="O54">
        <v>3.34</v>
      </c>
      <c r="P54" t="s">
        <v>49</v>
      </c>
      <c r="Q54" t="s">
        <v>49</v>
      </c>
      <c r="R54" t="e">
        <f t="shared" si="5"/>
        <v>#N/A</v>
      </c>
      <c r="S54" t="str">
        <f t="shared" si="6"/>
        <v/>
      </c>
      <c r="T54" s="17">
        <f t="shared" si="7"/>
        <v>1.123226060253768E-2</v>
      </c>
      <c r="U54" t="s">
        <v>143</v>
      </c>
      <c r="V54">
        <f t="shared" ca="1" si="8"/>
        <v>3.37</v>
      </c>
      <c r="W54">
        <f t="shared" ca="1" si="9"/>
        <v>17222.599999999999</v>
      </c>
    </row>
    <row r="55" spans="1:23" x14ac:dyDescent="0.3">
      <c r="A55" t="s">
        <v>170</v>
      </c>
      <c r="B55" t="s">
        <v>171</v>
      </c>
      <c r="C55">
        <v>2012</v>
      </c>
      <c r="D55">
        <v>102.8</v>
      </c>
      <c r="E55">
        <v>3.58</v>
      </c>
      <c r="F55">
        <v>17367</v>
      </c>
      <c r="G55">
        <v>230.88</v>
      </c>
      <c r="H55">
        <v>228.32</v>
      </c>
      <c r="I55">
        <v>8.27</v>
      </c>
      <c r="J55">
        <v>3.92</v>
      </c>
      <c r="K55">
        <v>9.5399999999999991</v>
      </c>
      <c r="L55">
        <v>9.48</v>
      </c>
      <c r="M55">
        <v>2.64</v>
      </c>
      <c r="N55">
        <v>4.42</v>
      </c>
      <c r="O55">
        <v>2.82</v>
      </c>
      <c r="P55" t="s">
        <v>49</v>
      </c>
      <c r="Q55" t="s">
        <v>49</v>
      </c>
      <c r="R55" t="e">
        <f t="shared" si="5"/>
        <v>#N/A</v>
      </c>
      <c r="S55" t="str">
        <f t="shared" si="6"/>
        <v/>
      </c>
      <c r="T55" s="17">
        <f t="shared" si="7"/>
        <v>8.3843322146481825E-3</v>
      </c>
      <c r="U55" t="s">
        <v>143</v>
      </c>
      <c r="V55">
        <f t="shared" ca="1" si="8"/>
        <v>3.58</v>
      </c>
      <c r="W55">
        <f t="shared" ca="1" si="9"/>
        <v>17367</v>
      </c>
    </row>
    <row r="56" spans="1:23" x14ac:dyDescent="0.3">
      <c r="A56" t="s">
        <v>172</v>
      </c>
      <c r="B56" t="s">
        <v>173</v>
      </c>
      <c r="C56">
        <v>2012</v>
      </c>
      <c r="D56">
        <v>93.55</v>
      </c>
      <c r="E56">
        <v>3.74</v>
      </c>
      <c r="F56">
        <v>17444.5</v>
      </c>
      <c r="G56">
        <v>231.47</v>
      </c>
      <c r="H56">
        <v>228.81</v>
      </c>
      <c r="I56">
        <v>8.1999999999999993</v>
      </c>
      <c r="J56">
        <v>3.81</v>
      </c>
      <c r="K56">
        <v>-8.57</v>
      </c>
      <c r="L56">
        <v>-1.84</v>
      </c>
      <c r="M56">
        <v>2.4</v>
      </c>
      <c r="N56">
        <v>2.83</v>
      </c>
      <c r="O56">
        <v>1.88</v>
      </c>
      <c r="P56" t="s">
        <v>174</v>
      </c>
      <c r="Q56" t="s">
        <v>49</v>
      </c>
      <c r="R56">
        <f t="shared" si="5"/>
        <v>3.74</v>
      </c>
      <c r="S56" t="str">
        <f t="shared" si="6"/>
        <v xml:space="preserve">European Sovereign Debt Crisis / Demand Slowdown, </v>
      </c>
      <c r="T56" s="17">
        <f t="shared" si="7"/>
        <v>4.4624863246387481E-3</v>
      </c>
      <c r="U56" t="s">
        <v>143</v>
      </c>
      <c r="V56">
        <f t="shared" ca="1" si="8"/>
        <v>3.74</v>
      </c>
      <c r="W56">
        <f t="shared" ca="1" si="9"/>
        <v>17444.5</v>
      </c>
    </row>
    <row r="57" spans="1:23" x14ac:dyDescent="0.3">
      <c r="A57" t="s">
        <v>175</v>
      </c>
      <c r="B57" t="s">
        <v>176</v>
      </c>
      <c r="C57">
        <v>2012</v>
      </c>
      <c r="D57">
        <v>92.12</v>
      </c>
      <c r="E57">
        <v>3.65</v>
      </c>
      <c r="F57">
        <v>17469.599999999999</v>
      </c>
      <c r="G57">
        <v>231.77</v>
      </c>
      <c r="H57">
        <v>229.81</v>
      </c>
      <c r="I57">
        <v>8.0399999999999991</v>
      </c>
      <c r="J57">
        <v>3.57</v>
      </c>
      <c r="K57">
        <v>2.89</v>
      </c>
      <c r="L57">
        <v>0.55000000000000004</v>
      </c>
      <c r="M57">
        <v>2.57</v>
      </c>
      <c r="N57">
        <v>1.41</v>
      </c>
      <c r="O57">
        <v>1.67</v>
      </c>
      <c r="P57" t="s">
        <v>49</v>
      </c>
      <c r="Q57" t="s">
        <v>177</v>
      </c>
      <c r="R57">
        <f t="shared" si="5"/>
        <v>3.65</v>
      </c>
      <c r="S57" t="str">
        <f t="shared" si="6"/>
        <v>Obama Administration 2017-2025 Model Year CAFE Standards Rule</v>
      </c>
      <c r="T57" s="17">
        <f t="shared" si="7"/>
        <v>1.4388489208632116E-3</v>
      </c>
      <c r="U57" t="s">
        <v>143</v>
      </c>
      <c r="V57">
        <f t="shared" ca="1" si="8"/>
        <v>3.65</v>
      </c>
      <c r="W57">
        <f t="shared" ca="1" si="9"/>
        <v>17469.599999999999</v>
      </c>
    </row>
    <row r="58" spans="1:23" x14ac:dyDescent="0.3">
      <c r="A58" t="s">
        <v>178</v>
      </c>
      <c r="B58" t="s">
        <v>179</v>
      </c>
      <c r="C58">
        <v>2012</v>
      </c>
      <c r="D58">
        <v>88.01</v>
      </c>
      <c r="E58">
        <v>3.52</v>
      </c>
      <c r="F58">
        <v>17489.900000000001</v>
      </c>
      <c r="G58">
        <v>232.88</v>
      </c>
      <c r="H58">
        <v>231.37</v>
      </c>
      <c r="I58">
        <v>7.8</v>
      </c>
      <c r="J58">
        <v>3.36</v>
      </c>
      <c r="K58">
        <v>-6.28</v>
      </c>
      <c r="L58">
        <v>4.45</v>
      </c>
      <c r="M58">
        <v>1.55</v>
      </c>
      <c r="N58">
        <v>1.2</v>
      </c>
      <c r="O58">
        <v>1.9</v>
      </c>
      <c r="P58" t="s">
        <v>49</v>
      </c>
      <c r="Q58" t="s">
        <v>49</v>
      </c>
      <c r="R58" t="e">
        <f t="shared" si="5"/>
        <v>#N/A</v>
      </c>
      <c r="S58" t="str">
        <f t="shared" si="6"/>
        <v/>
      </c>
      <c r="T58" s="17">
        <f t="shared" si="7"/>
        <v>1.1620185922975867E-3</v>
      </c>
      <c r="U58" t="s">
        <v>143</v>
      </c>
      <c r="V58">
        <f t="shared" ca="1" si="8"/>
        <v>3.52</v>
      </c>
      <c r="W58">
        <f t="shared" ca="1" si="9"/>
        <v>17489.900000000001</v>
      </c>
    </row>
    <row r="59" spans="1:23" x14ac:dyDescent="0.3">
      <c r="A59" t="s">
        <v>180</v>
      </c>
      <c r="B59" t="s">
        <v>181</v>
      </c>
      <c r="C59">
        <v>2013</v>
      </c>
      <c r="D59">
        <v>94.38</v>
      </c>
      <c r="E59">
        <v>3.55</v>
      </c>
      <c r="F59">
        <v>17662.400000000001</v>
      </c>
      <c r="G59">
        <v>233.6</v>
      </c>
      <c r="H59">
        <v>232.27</v>
      </c>
      <c r="I59">
        <v>7.74</v>
      </c>
      <c r="J59">
        <v>3.49</v>
      </c>
      <c r="K59">
        <v>-8.19</v>
      </c>
      <c r="L59">
        <v>-0.84</v>
      </c>
      <c r="M59">
        <v>1.7</v>
      </c>
      <c r="N59">
        <v>1.18</v>
      </c>
      <c r="O59">
        <v>1.73</v>
      </c>
      <c r="P59" t="s">
        <v>49</v>
      </c>
      <c r="Q59" t="s">
        <v>182</v>
      </c>
      <c r="R59">
        <f t="shared" si="5"/>
        <v>3.55</v>
      </c>
      <c r="S59" t="str">
        <f t="shared" si="6"/>
        <v>American Taxpayer Relief Act of 2012 (Energy Tax Incentives)</v>
      </c>
      <c r="T59" s="17">
        <f t="shared" si="7"/>
        <v>9.8628351219847143E-3</v>
      </c>
      <c r="U59" t="s">
        <v>143</v>
      </c>
      <c r="V59">
        <f t="shared" ca="1" si="8"/>
        <v>3.55</v>
      </c>
      <c r="W59">
        <f t="shared" ca="1" si="9"/>
        <v>17662.400000000001</v>
      </c>
    </row>
    <row r="60" spans="1:23" x14ac:dyDescent="0.3">
      <c r="A60" t="s">
        <v>183</v>
      </c>
      <c r="B60" t="s">
        <v>184</v>
      </c>
      <c r="C60">
        <v>2013</v>
      </c>
      <c r="D60">
        <v>94.01</v>
      </c>
      <c r="E60">
        <v>3.6</v>
      </c>
      <c r="F60">
        <v>17709.7</v>
      </c>
      <c r="G60">
        <v>233.58</v>
      </c>
      <c r="H60">
        <v>232.04</v>
      </c>
      <c r="I60">
        <v>7.53</v>
      </c>
      <c r="J60">
        <v>3.63</v>
      </c>
      <c r="K60">
        <v>0.49</v>
      </c>
      <c r="L60">
        <v>-3.74</v>
      </c>
      <c r="M60">
        <v>1.52</v>
      </c>
      <c r="N60">
        <v>0.91</v>
      </c>
      <c r="O60">
        <v>1.41</v>
      </c>
      <c r="P60" t="s">
        <v>49</v>
      </c>
      <c r="Q60" t="s">
        <v>49</v>
      </c>
      <c r="R60" t="e">
        <f t="shared" si="5"/>
        <v>#N/A</v>
      </c>
      <c r="S60" t="str">
        <f t="shared" si="6"/>
        <v/>
      </c>
      <c r="T60" s="17">
        <f t="shared" si="7"/>
        <v>2.6780052540991139E-3</v>
      </c>
      <c r="U60" t="s">
        <v>143</v>
      </c>
      <c r="V60">
        <f t="shared" ca="1" si="8"/>
        <v>3.6</v>
      </c>
      <c r="W60">
        <f t="shared" ca="1" si="9"/>
        <v>17709.7</v>
      </c>
    </row>
    <row r="61" spans="1:23" x14ac:dyDescent="0.3">
      <c r="A61" t="s">
        <v>185</v>
      </c>
      <c r="B61" t="s">
        <v>186</v>
      </c>
      <c r="C61">
        <v>2013</v>
      </c>
      <c r="D61">
        <v>105.84</v>
      </c>
      <c r="E61">
        <v>3.57</v>
      </c>
      <c r="F61">
        <v>17860.400000000001</v>
      </c>
      <c r="G61">
        <v>234</v>
      </c>
      <c r="H61">
        <v>233.29</v>
      </c>
      <c r="I61">
        <v>7.23</v>
      </c>
      <c r="J61">
        <v>4.4400000000000004</v>
      </c>
      <c r="K61">
        <v>14.89</v>
      </c>
      <c r="L61">
        <v>-2.19</v>
      </c>
      <c r="M61">
        <v>2.2400000000000002</v>
      </c>
      <c r="N61">
        <v>0.96</v>
      </c>
      <c r="O61">
        <v>1.51</v>
      </c>
      <c r="P61" t="s">
        <v>187</v>
      </c>
      <c r="Q61" t="s">
        <v>49</v>
      </c>
      <c r="R61">
        <f t="shared" si="5"/>
        <v>3.57</v>
      </c>
      <c r="S61" t="str">
        <f t="shared" si="6"/>
        <v xml:space="preserve">Syrian Civil War Escalation / Chemical Weapon Crisis, </v>
      </c>
      <c r="T61" s="17">
        <f t="shared" si="7"/>
        <v>8.5094609168987478E-3</v>
      </c>
      <c r="U61" t="s">
        <v>143</v>
      </c>
      <c r="V61">
        <f t="shared" ca="1" si="8"/>
        <v>3.57</v>
      </c>
      <c r="W61">
        <f t="shared" ca="1" si="9"/>
        <v>17860.400000000001</v>
      </c>
    </row>
    <row r="62" spans="1:23" x14ac:dyDescent="0.3">
      <c r="A62" t="s">
        <v>188</v>
      </c>
      <c r="B62" t="s">
        <v>189</v>
      </c>
      <c r="C62">
        <v>2013</v>
      </c>
      <c r="D62">
        <v>97.36</v>
      </c>
      <c r="E62">
        <v>3.29</v>
      </c>
      <c r="F62">
        <v>18016.099999999999</v>
      </c>
      <c r="G62">
        <v>234.23</v>
      </c>
      <c r="H62">
        <v>234.16</v>
      </c>
      <c r="I62">
        <v>6.93</v>
      </c>
      <c r="J62">
        <v>4.29</v>
      </c>
      <c r="K62">
        <v>10.62</v>
      </c>
      <c r="L62">
        <v>-6.53</v>
      </c>
      <c r="M62">
        <v>3.01</v>
      </c>
      <c r="N62">
        <v>0.57999999999999996</v>
      </c>
      <c r="O62">
        <v>1.21</v>
      </c>
      <c r="P62" t="s">
        <v>49</v>
      </c>
      <c r="Q62" t="s">
        <v>49</v>
      </c>
      <c r="R62" t="e">
        <f t="shared" si="5"/>
        <v>#N/A</v>
      </c>
      <c r="S62" t="str">
        <f t="shared" si="6"/>
        <v/>
      </c>
      <c r="T62" s="17">
        <f t="shared" si="7"/>
        <v>8.7176099079526725E-3</v>
      </c>
      <c r="U62" t="s">
        <v>143</v>
      </c>
      <c r="V62">
        <f t="shared" ca="1" si="8"/>
        <v>3.29</v>
      </c>
      <c r="W62">
        <f t="shared" ca="1" si="9"/>
        <v>18016.099999999999</v>
      </c>
    </row>
    <row r="63" spans="1:23" x14ac:dyDescent="0.3">
      <c r="A63" t="s">
        <v>190</v>
      </c>
      <c r="B63" t="s">
        <v>191</v>
      </c>
      <c r="C63">
        <v>2014</v>
      </c>
      <c r="D63">
        <v>98.67</v>
      </c>
      <c r="E63">
        <v>3.4</v>
      </c>
      <c r="F63">
        <v>17954</v>
      </c>
      <c r="G63">
        <v>235.84</v>
      </c>
      <c r="H63">
        <v>235.62</v>
      </c>
      <c r="I63">
        <v>6.67</v>
      </c>
      <c r="J63">
        <v>4.3600000000000003</v>
      </c>
      <c r="K63">
        <v>4.55</v>
      </c>
      <c r="L63">
        <v>-4.2300000000000004</v>
      </c>
      <c r="M63">
        <v>1.65</v>
      </c>
      <c r="N63">
        <v>0.96</v>
      </c>
      <c r="O63">
        <v>1.44</v>
      </c>
      <c r="P63" t="s">
        <v>49</v>
      </c>
      <c r="Q63" t="s">
        <v>49</v>
      </c>
      <c r="R63" t="e">
        <f t="shared" si="5"/>
        <v>#N/A</v>
      </c>
      <c r="S63" t="str">
        <f t="shared" si="6"/>
        <v/>
      </c>
      <c r="T63" s="17">
        <f t="shared" si="7"/>
        <v>-3.4469169243065423E-3</v>
      </c>
      <c r="U63" t="s">
        <v>143</v>
      </c>
      <c r="V63">
        <f t="shared" ca="1" si="8"/>
        <v>3.4</v>
      </c>
      <c r="W63">
        <f t="shared" ca="1" si="9"/>
        <v>17954</v>
      </c>
    </row>
    <row r="64" spans="1:23" x14ac:dyDescent="0.3">
      <c r="A64" t="s">
        <v>192</v>
      </c>
      <c r="B64" t="s">
        <v>193</v>
      </c>
      <c r="C64">
        <v>2014</v>
      </c>
      <c r="D64">
        <v>103.39</v>
      </c>
      <c r="E64">
        <v>3.67</v>
      </c>
      <c r="F64">
        <v>18185.900000000001</v>
      </c>
      <c r="G64">
        <v>239.08</v>
      </c>
      <c r="H64">
        <v>236.87</v>
      </c>
      <c r="I64">
        <v>6.2</v>
      </c>
      <c r="J64">
        <v>4.2300000000000004</v>
      </c>
      <c r="K64">
        <v>9.98</v>
      </c>
      <c r="L64">
        <v>1.94</v>
      </c>
      <c r="M64">
        <v>2.69</v>
      </c>
      <c r="N64">
        <v>2.35</v>
      </c>
      <c r="O64">
        <v>2.08</v>
      </c>
      <c r="P64" t="s">
        <v>49</v>
      </c>
      <c r="Q64" t="s">
        <v>49</v>
      </c>
      <c r="R64" t="e">
        <f t="shared" si="5"/>
        <v>#N/A</v>
      </c>
      <c r="S64" t="str">
        <f t="shared" si="6"/>
        <v/>
      </c>
      <c r="T64" s="17">
        <f t="shared" si="7"/>
        <v>1.2916341762281514E-2</v>
      </c>
      <c r="U64" t="s">
        <v>143</v>
      </c>
      <c r="V64">
        <f t="shared" ca="1" si="8"/>
        <v>3.67</v>
      </c>
      <c r="W64">
        <f t="shared" ca="1" si="9"/>
        <v>18185.900000000001</v>
      </c>
    </row>
    <row r="65" spans="1:23" x14ac:dyDescent="0.3">
      <c r="A65" t="s">
        <v>194</v>
      </c>
      <c r="B65" t="s">
        <v>195</v>
      </c>
      <c r="C65">
        <v>2014</v>
      </c>
      <c r="D65">
        <v>97.97</v>
      </c>
      <c r="E65">
        <v>3.51</v>
      </c>
      <c r="F65">
        <v>18406.900000000001</v>
      </c>
      <c r="G65">
        <v>240.72</v>
      </c>
      <c r="H65">
        <v>237.48</v>
      </c>
      <c r="I65">
        <v>6.07</v>
      </c>
      <c r="J65">
        <v>4.13</v>
      </c>
      <c r="K65">
        <v>-7.44</v>
      </c>
      <c r="L65">
        <v>-1.68</v>
      </c>
      <c r="M65">
        <v>3.06</v>
      </c>
      <c r="N65">
        <v>2.87</v>
      </c>
      <c r="O65">
        <v>1.8</v>
      </c>
      <c r="P65" t="s">
        <v>49</v>
      </c>
      <c r="Q65" t="s">
        <v>49</v>
      </c>
      <c r="R65" t="e">
        <f t="shared" si="5"/>
        <v>#N/A</v>
      </c>
      <c r="S65" t="str">
        <f t="shared" si="6"/>
        <v/>
      </c>
      <c r="T65" s="17">
        <f t="shared" si="7"/>
        <v>1.2152271814977578E-2</v>
      </c>
      <c r="U65" t="s">
        <v>143</v>
      </c>
      <c r="V65">
        <f t="shared" ca="1" si="8"/>
        <v>3.51</v>
      </c>
      <c r="W65">
        <f t="shared" ca="1" si="9"/>
        <v>18406.900000000001</v>
      </c>
    </row>
    <row r="66" spans="1:23" x14ac:dyDescent="0.3">
      <c r="A66" t="s">
        <v>196</v>
      </c>
      <c r="B66" t="s">
        <v>197</v>
      </c>
      <c r="C66">
        <v>2014</v>
      </c>
      <c r="D66">
        <v>73.069999999999993</v>
      </c>
      <c r="E66">
        <v>2.89</v>
      </c>
      <c r="F66">
        <v>18500</v>
      </c>
      <c r="G66">
        <v>242.15</v>
      </c>
      <c r="H66">
        <v>236.89</v>
      </c>
      <c r="I66">
        <v>5.7</v>
      </c>
      <c r="J66">
        <v>3.98</v>
      </c>
      <c r="K66">
        <v>-24.95</v>
      </c>
      <c r="L66">
        <v>-12.16</v>
      </c>
      <c r="M66">
        <v>2.69</v>
      </c>
      <c r="N66">
        <v>3.38</v>
      </c>
      <c r="O66">
        <v>1.17</v>
      </c>
      <c r="P66" t="s">
        <v>198</v>
      </c>
      <c r="Q66" t="s">
        <v>49</v>
      </c>
      <c r="R66">
        <f t="shared" si="5"/>
        <v>2.89</v>
      </c>
      <c r="S66" t="str">
        <f t="shared" si="6"/>
        <v xml:space="preserve">OPEC Price War / US Shale Boom Market Share Battle, </v>
      </c>
      <c r="T66" s="17">
        <f t="shared" si="7"/>
        <v>5.057885901482484E-3</v>
      </c>
      <c r="U66" t="s">
        <v>143</v>
      </c>
      <c r="V66">
        <f t="shared" ca="1" si="8"/>
        <v>2.89</v>
      </c>
      <c r="W66">
        <f t="shared" ca="1" si="9"/>
        <v>18500</v>
      </c>
    </row>
    <row r="67" spans="1:23" x14ac:dyDescent="0.3">
      <c r="A67" t="s">
        <v>199</v>
      </c>
      <c r="B67" t="s">
        <v>200</v>
      </c>
      <c r="C67">
        <v>2015</v>
      </c>
      <c r="D67">
        <v>48.63</v>
      </c>
      <c r="E67">
        <v>2.27</v>
      </c>
      <c r="F67">
        <v>18666.599999999999</v>
      </c>
      <c r="G67">
        <v>242.25</v>
      </c>
      <c r="H67">
        <v>235.36</v>
      </c>
      <c r="I67">
        <v>5.53</v>
      </c>
      <c r="J67">
        <v>3.73</v>
      </c>
      <c r="K67">
        <v>-50.71</v>
      </c>
      <c r="L67">
        <v>-33.24</v>
      </c>
      <c r="M67">
        <v>3.97</v>
      </c>
      <c r="N67">
        <v>2.72</v>
      </c>
      <c r="O67">
        <v>-0.11</v>
      </c>
      <c r="P67" t="s">
        <v>49</v>
      </c>
      <c r="Q67" t="s">
        <v>49</v>
      </c>
      <c r="R67" t="e">
        <f t="shared" si="5"/>
        <v>#N/A</v>
      </c>
      <c r="S67" t="str">
        <f t="shared" si="6"/>
        <v/>
      </c>
      <c r="T67" s="17">
        <f t="shared" si="7"/>
        <v>9.0054054054053978E-3</v>
      </c>
      <c r="U67" t="s">
        <v>143</v>
      </c>
      <c r="V67">
        <f t="shared" ca="1" si="8"/>
        <v>2.27</v>
      </c>
      <c r="W67">
        <f t="shared" ca="1" si="9"/>
        <v>18666.599999999999</v>
      </c>
    </row>
    <row r="68" spans="1:23" x14ac:dyDescent="0.3">
      <c r="A68" t="s">
        <v>201</v>
      </c>
      <c r="B68" t="s">
        <v>202</v>
      </c>
      <c r="C68">
        <v>2015</v>
      </c>
      <c r="D68">
        <v>57.74</v>
      </c>
      <c r="E68">
        <v>2.66</v>
      </c>
      <c r="F68">
        <v>18782.2</v>
      </c>
      <c r="G68">
        <v>241.38</v>
      </c>
      <c r="H68">
        <v>236.96</v>
      </c>
      <c r="I68">
        <v>5.43</v>
      </c>
      <c r="J68">
        <v>3.81</v>
      </c>
      <c r="K68">
        <v>-44.15</v>
      </c>
      <c r="L68">
        <v>-27.52</v>
      </c>
      <c r="M68">
        <v>3.28</v>
      </c>
      <c r="N68">
        <v>0.96</v>
      </c>
      <c r="O68">
        <v>0.04</v>
      </c>
      <c r="P68" t="s">
        <v>49</v>
      </c>
      <c r="Q68" t="s">
        <v>49</v>
      </c>
      <c r="R68" t="e">
        <f t="shared" si="5"/>
        <v>#N/A</v>
      </c>
      <c r="S68" t="str">
        <f t="shared" si="6"/>
        <v/>
      </c>
      <c r="T68" s="17">
        <f t="shared" si="7"/>
        <v>6.1928792602832239E-3</v>
      </c>
      <c r="U68" t="s">
        <v>143</v>
      </c>
      <c r="V68">
        <f t="shared" ca="1" si="8"/>
        <v>2.66</v>
      </c>
      <c r="W68">
        <f t="shared" ca="1" si="9"/>
        <v>18782.2</v>
      </c>
    </row>
    <row r="69" spans="1:23" x14ac:dyDescent="0.3">
      <c r="A69" t="s">
        <v>203</v>
      </c>
      <c r="B69" t="s">
        <v>204</v>
      </c>
      <c r="C69">
        <v>2015</v>
      </c>
      <c r="D69">
        <v>46.64</v>
      </c>
      <c r="E69">
        <v>2.62</v>
      </c>
      <c r="F69">
        <v>18857.400000000001</v>
      </c>
      <c r="G69">
        <v>242.76</v>
      </c>
      <c r="H69">
        <v>237.86</v>
      </c>
      <c r="I69">
        <v>5.0999999999999996</v>
      </c>
      <c r="J69">
        <v>3.96</v>
      </c>
      <c r="K69">
        <v>-52.39</v>
      </c>
      <c r="L69">
        <v>-25.36</v>
      </c>
      <c r="M69">
        <v>2.4500000000000002</v>
      </c>
      <c r="N69">
        <v>0.85</v>
      </c>
      <c r="O69">
        <v>0.16</v>
      </c>
      <c r="P69" t="s">
        <v>205</v>
      </c>
      <c r="Q69" t="s">
        <v>49</v>
      </c>
      <c r="R69">
        <f t="shared" si="5"/>
        <v>2.62</v>
      </c>
      <c r="S69" t="str">
        <f t="shared" si="6"/>
        <v xml:space="preserve">Global Oil Glut / WTI Drops Below $40/bbl, </v>
      </c>
      <c r="T69" s="17">
        <f t="shared" si="7"/>
        <v>4.0037908232262165E-3</v>
      </c>
      <c r="U69" t="s">
        <v>143</v>
      </c>
      <c r="V69">
        <f t="shared" ca="1" si="8"/>
        <v>2.62</v>
      </c>
      <c r="W69">
        <f t="shared" ca="1" si="9"/>
        <v>18857.400000000001</v>
      </c>
    </row>
    <row r="70" spans="1:23" x14ac:dyDescent="0.3">
      <c r="A70" t="s">
        <v>206</v>
      </c>
      <c r="B70" t="s">
        <v>207</v>
      </c>
      <c r="C70">
        <v>2015</v>
      </c>
      <c r="D70">
        <v>41.93</v>
      </c>
      <c r="E70">
        <v>2.17</v>
      </c>
      <c r="F70">
        <v>18892.2</v>
      </c>
      <c r="G70">
        <v>242.58</v>
      </c>
      <c r="H70">
        <v>237.84</v>
      </c>
      <c r="I70">
        <v>5.03</v>
      </c>
      <c r="J70">
        <v>3.89</v>
      </c>
      <c r="K70">
        <v>-42.62</v>
      </c>
      <c r="L70">
        <v>-24.91</v>
      </c>
      <c r="M70">
        <v>2.12</v>
      </c>
      <c r="N70">
        <v>0.18</v>
      </c>
      <c r="O70">
        <v>0.4</v>
      </c>
      <c r="P70" t="s">
        <v>49</v>
      </c>
      <c r="Q70" t="s">
        <v>208</v>
      </c>
      <c r="R70">
        <f t="shared" si="5"/>
        <v>2.17</v>
      </c>
      <c r="S70" t="str">
        <f t="shared" si="6"/>
        <v>Consolidated Appropriations Act: Lifts 40-Year US Crude Export Ban</v>
      </c>
      <c r="T70" s="17">
        <f t="shared" si="7"/>
        <v>1.8454293805083566E-3</v>
      </c>
      <c r="U70" t="s">
        <v>143</v>
      </c>
      <c r="V70">
        <f t="shared" ca="1" si="8"/>
        <v>2.17</v>
      </c>
      <c r="W70">
        <f t="shared" ca="1" si="9"/>
        <v>18892.2</v>
      </c>
    </row>
    <row r="71" spans="1:23" x14ac:dyDescent="0.3">
      <c r="A71" t="s">
        <v>209</v>
      </c>
      <c r="B71" t="s">
        <v>210</v>
      </c>
      <c r="C71">
        <v>2016</v>
      </c>
      <c r="D71">
        <v>33.36</v>
      </c>
      <c r="E71">
        <v>1.88</v>
      </c>
      <c r="F71">
        <v>19001.7</v>
      </c>
      <c r="G71">
        <v>241.21</v>
      </c>
      <c r="H71">
        <v>237.7</v>
      </c>
      <c r="I71">
        <v>4.9000000000000004</v>
      </c>
      <c r="J71">
        <v>3.76</v>
      </c>
      <c r="K71">
        <v>-31.4</v>
      </c>
      <c r="L71">
        <v>-17.18</v>
      </c>
      <c r="M71">
        <v>1.8</v>
      </c>
      <c r="N71">
        <v>-0.43</v>
      </c>
      <c r="O71">
        <v>0.99</v>
      </c>
      <c r="P71" t="s">
        <v>211</v>
      </c>
      <c r="Q71" t="s">
        <v>49</v>
      </c>
      <c r="R71">
        <f t="shared" ref="R71:R102" si="10">IF(AND(OR(P$4=FALSE, P71="None"), OR(Q$4=FALSE, Q71="None")), NA(), E71)</f>
        <v>1.88</v>
      </c>
      <c r="S71" t="str">
        <f t="shared" ref="S71:S102" si="11">IF(AND(P71="None",Q71="None"),"",IF(AND(P$4=TRUE,P71&lt;&gt;"None"),P71&amp;", ","")&amp;IF(AND(Q$4=TRUE,Q71&lt;&gt;"None"),Q71,""))</f>
        <v xml:space="preserve">WTI Crude Plunges to $26/bbl / US Shale Bankruptcy Wave, </v>
      </c>
      <c r="T71" s="17">
        <f t="shared" ref="T71:T102" si="12">IF(F71="",NA(),IFERROR(F71/F70-1,NA()))</f>
        <v>5.7960428113188467E-3</v>
      </c>
      <c r="U71" t="s">
        <v>143</v>
      </c>
      <c r="V71">
        <f t="shared" ref="V71:V102" ca="1" si="13">INDIRECT(ADDRESS(ROW(),$F$3))</f>
        <v>1.88</v>
      </c>
      <c r="W71">
        <f t="shared" ref="W71:W102" ca="1" si="14">INDIRECT(ADDRESS(ROW(),$F$4))</f>
        <v>19001.7</v>
      </c>
    </row>
    <row r="72" spans="1:23" x14ac:dyDescent="0.3">
      <c r="A72" t="s">
        <v>212</v>
      </c>
      <c r="B72" t="s">
        <v>213</v>
      </c>
      <c r="C72">
        <v>2016</v>
      </c>
      <c r="D72">
        <v>45.53</v>
      </c>
      <c r="E72">
        <v>2.2400000000000002</v>
      </c>
      <c r="F72">
        <v>19062.7</v>
      </c>
      <c r="G72">
        <v>239.47</v>
      </c>
      <c r="H72">
        <v>239.6</v>
      </c>
      <c r="I72">
        <v>4.93</v>
      </c>
      <c r="J72">
        <v>3.6</v>
      </c>
      <c r="K72">
        <v>-21.15</v>
      </c>
      <c r="L72">
        <v>-15.79</v>
      </c>
      <c r="M72">
        <v>1.49</v>
      </c>
      <c r="N72">
        <v>-0.79</v>
      </c>
      <c r="O72">
        <v>1.1100000000000001</v>
      </c>
      <c r="P72" t="s">
        <v>49</v>
      </c>
      <c r="Q72" t="s">
        <v>214</v>
      </c>
      <c r="R72">
        <f t="shared" si="10"/>
        <v>2.2400000000000002</v>
      </c>
      <c r="S72" t="str">
        <f t="shared" si="11"/>
        <v>Paris Climate Agreement Signed / Methane Emission Mandates</v>
      </c>
      <c r="T72" s="17">
        <f t="shared" si="12"/>
        <v>3.2102390838715245E-3</v>
      </c>
      <c r="U72" t="s">
        <v>143</v>
      </c>
      <c r="V72">
        <f t="shared" ca="1" si="13"/>
        <v>2.2400000000000002</v>
      </c>
      <c r="W72">
        <f t="shared" ca="1" si="14"/>
        <v>19062.7</v>
      </c>
    </row>
    <row r="73" spans="1:23" x14ac:dyDescent="0.3">
      <c r="A73" t="s">
        <v>215</v>
      </c>
      <c r="B73" t="s">
        <v>216</v>
      </c>
      <c r="C73">
        <v>2016</v>
      </c>
      <c r="D73">
        <v>44.91</v>
      </c>
      <c r="E73">
        <v>2.21</v>
      </c>
      <c r="F73">
        <v>19197.900000000001</v>
      </c>
      <c r="G73">
        <v>238.13</v>
      </c>
      <c r="H73">
        <v>240.61</v>
      </c>
      <c r="I73">
        <v>4.9000000000000004</v>
      </c>
      <c r="J73">
        <v>3.45</v>
      </c>
      <c r="K73">
        <v>-3.71</v>
      </c>
      <c r="L73">
        <v>-15.65</v>
      </c>
      <c r="M73">
        <v>1.81</v>
      </c>
      <c r="N73">
        <v>-1.91</v>
      </c>
      <c r="O73">
        <v>1.1599999999999999</v>
      </c>
      <c r="P73" t="s">
        <v>49</v>
      </c>
      <c r="Q73" t="s">
        <v>49</v>
      </c>
      <c r="R73" t="e">
        <f t="shared" si="10"/>
        <v>#N/A</v>
      </c>
      <c r="S73" t="str">
        <f t="shared" si="11"/>
        <v/>
      </c>
      <c r="T73" s="17">
        <f t="shared" si="12"/>
        <v>7.0923846044894656E-3</v>
      </c>
      <c r="U73" t="s">
        <v>143</v>
      </c>
      <c r="V73">
        <f t="shared" ca="1" si="13"/>
        <v>2.21</v>
      </c>
      <c r="W73">
        <f t="shared" ca="1" si="14"/>
        <v>19197.900000000001</v>
      </c>
    </row>
    <row r="74" spans="1:23" x14ac:dyDescent="0.3">
      <c r="A74" t="s">
        <v>217</v>
      </c>
      <c r="B74" t="s">
        <v>218</v>
      </c>
      <c r="C74">
        <v>2016</v>
      </c>
      <c r="D74">
        <v>49.12</v>
      </c>
      <c r="E74">
        <v>2.23</v>
      </c>
      <c r="F74">
        <v>19304.400000000001</v>
      </c>
      <c r="G74">
        <v>237.43</v>
      </c>
      <c r="H74">
        <v>242.13</v>
      </c>
      <c r="I74">
        <v>4.7699999999999996</v>
      </c>
      <c r="J74">
        <v>3.8</v>
      </c>
      <c r="K74">
        <v>17.149999999999999</v>
      </c>
      <c r="L74">
        <v>2.76</v>
      </c>
      <c r="M74">
        <v>2.1800000000000002</v>
      </c>
      <c r="N74">
        <v>-2.12</v>
      </c>
      <c r="O74">
        <v>1.8</v>
      </c>
      <c r="P74" t="s">
        <v>219</v>
      </c>
      <c r="Q74" t="s">
        <v>49</v>
      </c>
      <c r="R74">
        <f t="shared" si="10"/>
        <v>2.23</v>
      </c>
      <c r="S74" t="str">
        <f t="shared" si="11"/>
        <v xml:space="preserve">Formation of OPEC+ Alliance (OPEC &amp; Russia Agreement), </v>
      </c>
      <c r="T74" s="17">
        <f t="shared" si="12"/>
        <v>5.5474817558169853E-3</v>
      </c>
      <c r="U74" t="s">
        <v>143</v>
      </c>
      <c r="V74">
        <f t="shared" ca="1" si="13"/>
        <v>2.23</v>
      </c>
      <c r="W74">
        <f t="shared" ca="1" si="14"/>
        <v>19304.400000000001</v>
      </c>
    </row>
    <row r="75" spans="1:23" x14ac:dyDescent="0.3">
      <c r="A75" t="s">
        <v>220</v>
      </c>
      <c r="B75" t="s">
        <v>221</v>
      </c>
      <c r="C75">
        <v>2017</v>
      </c>
      <c r="D75">
        <v>51.72</v>
      </c>
      <c r="E75">
        <v>2.33</v>
      </c>
      <c r="F75">
        <v>19398.3</v>
      </c>
      <c r="G75">
        <v>237.76</v>
      </c>
      <c r="H75">
        <v>243.83</v>
      </c>
      <c r="I75">
        <v>4.57</v>
      </c>
      <c r="J75">
        <v>4.18</v>
      </c>
      <c r="K75">
        <v>55.04</v>
      </c>
      <c r="L75">
        <v>23.94</v>
      </c>
      <c r="M75">
        <v>2.09</v>
      </c>
      <c r="N75">
        <v>-1.43</v>
      </c>
      <c r="O75">
        <v>2.58</v>
      </c>
      <c r="P75" t="s">
        <v>49</v>
      </c>
      <c r="Q75" t="s">
        <v>49</v>
      </c>
      <c r="R75" t="e">
        <f t="shared" si="10"/>
        <v>#N/A</v>
      </c>
      <c r="S75" t="str">
        <f t="shared" si="11"/>
        <v/>
      </c>
      <c r="T75" s="17">
        <f t="shared" si="12"/>
        <v>4.864176042767232E-3</v>
      </c>
      <c r="U75" t="s">
        <v>222</v>
      </c>
      <c r="V75">
        <f t="shared" ca="1" si="13"/>
        <v>2.33</v>
      </c>
      <c r="W75">
        <f t="shared" ca="1" si="14"/>
        <v>19398.3</v>
      </c>
    </row>
    <row r="76" spans="1:23" x14ac:dyDescent="0.3">
      <c r="A76" t="s">
        <v>223</v>
      </c>
      <c r="B76" t="s">
        <v>224</v>
      </c>
      <c r="C76">
        <v>2017</v>
      </c>
      <c r="D76">
        <v>48.24</v>
      </c>
      <c r="E76">
        <v>2.38</v>
      </c>
      <c r="F76">
        <v>19506.900000000001</v>
      </c>
      <c r="G76">
        <v>238.66</v>
      </c>
      <c r="H76">
        <v>244.12</v>
      </c>
      <c r="I76">
        <v>4.37</v>
      </c>
      <c r="J76">
        <v>3.99</v>
      </c>
      <c r="K76">
        <v>5.95</v>
      </c>
      <c r="L76">
        <v>6.25</v>
      </c>
      <c r="M76">
        <v>2.33</v>
      </c>
      <c r="N76">
        <v>-0.34</v>
      </c>
      <c r="O76">
        <v>1.89</v>
      </c>
      <c r="P76" t="s">
        <v>49</v>
      </c>
      <c r="Q76" t="s">
        <v>49</v>
      </c>
      <c r="R76" t="e">
        <f t="shared" si="10"/>
        <v>#N/A</v>
      </c>
      <c r="S76" t="str">
        <f t="shared" si="11"/>
        <v/>
      </c>
      <c r="T76" s="17">
        <f t="shared" si="12"/>
        <v>5.5984287282906386E-3</v>
      </c>
      <c r="U76" t="s">
        <v>222</v>
      </c>
      <c r="V76">
        <f t="shared" ca="1" si="13"/>
        <v>2.38</v>
      </c>
      <c r="W76">
        <f t="shared" ca="1" si="14"/>
        <v>19506.900000000001</v>
      </c>
    </row>
    <row r="77" spans="1:23" x14ac:dyDescent="0.3">
      <c r="A77" t="s">
        <v>225</v>
      </c>
      <c r="B77" t="s">
        <v>226</v>
      </c>
      <c r="C77">
        <v>2017</v>
      </c>
      <c r="D77">
        <v>48.07</v>
      </c>
      <c r="E77">
        <v>2.4300000000000002</v>
      </c>
      <c r="F77">
        <v>19660.8</v>
      </c>
      <c r="G77">
        <v>238.85</v>
      </c>
      <c r="H77">
        <v>245.27</v>
      </c>
      <c r="I77">
        <v>4.33</v>
      </c>
      <c r="J77">
        <v>3.89</v>
      </c>
      <c r="K77">
        <v>7.04</v>
      </c>
      <c r="L77">
        <v>9.9499999999999993</v>
      </c>
      <c r="M77">
        <v>2.41</v>
      </c>
      <c r="N77">
        <v>0.3</v>
      </c>
      <c r="O77">
        <v>1.94</v>
      </c>
      <c r="P77" t="s">
        <v>227</v>
      </c>
      <c r="Q77" t="s">
        <v>49</v>
      </c>
      <c r="R77">
        <f t="shared" si="10"/>
        <v>2.4300000000000002</v>
      </c>
      <c r="S77" t="str">
        <f t="shared" si="11"/>
        <v xml:space="preserve">Hurricane Harvey Shuts Down Houston Refining Hub, </v>
      </c>
      <c r="T77" s="17">
        <f t="shared" si="12"/>
        <v>7.8895160174090595E-3</v>
      </c>
      <c r="U77" t="s">
        <v>222</v>
      </c>
      <c r="V77">
        <f t="shared" ca="1" si="13"/>
        <v>2.4300000000000002</v>
      </c>
      <c r="W77">
        <f t="shared" ca="1" si="14"/>
        <v>19660.8</v>
      </c>
    </row>
    <row r="78" spans="1:23" x14ac:dyDescent="0.3">
      <c r="A78" t="s">
        <v>228</v>
      </c>
      <c r="B78" t="s">
        <v>229</v>
      </c>
      <c r="C78">
        <v>2017</v>
      </c>
      <c r="D78">
        <v>55.3</v>
      </c>
      <c r="E78">
        <v>2.52</v>
      </c>
      <c r="F78">
        <v>19882.400000000001</v>
      </c>
      <c r="G78">
        <v>239.11</v>
      </c>
      <c r="H78">
        <v>247.22</v>
      </c>
      <c r="I78">
        <v>4.17</v>
      </c>
      <c r="J78">
        <v>3.91</v>
      </c>
      <c r="K78">
        <v>12.58</v>
      </c>
      <c r="L78">
        <v>13</v>
      </c>
      <c r="M78">
        <v>2.99</v>
      </c>
      <c r="N78">
        <v>0.71</v>
      </c>
      <c r="O78">
        <v>2.1</v>
      </c>
      <c r="P78" t="s">
        <v>49</v>
      </c>
      <c r="Q78" t="s">
        <v>49</v>
      </c>
      <c r="R78" t="e">
        <f t="shared" si="10"/>
        <v>#N/A</v>
      </c>
      <c r="S78" t="str">
        <f t="shared" si="11"/>
        <v/>
      </c>
      <c r="T78" s="17">
        <f t="shared" si="12"/>
        <v>1.1271158854166741E-2</v>
      </c>
      <c r="U78" t="s">
        <v>222</v>
      </c>
      <c r="V78">
        <f t="shared" ca="1" si="13"/>
        <v>2.52</v>
      </c>
      <c r="W78">
        <f t="shared" ca="1" si="14"/>
        <v>19882.400000000001</v>
      </c>
    </row>
    <row r="79" spans="1:23" x14ac:dyDescent="0.3">
      <c r="A79" t="s">
        <v>230</v>
      </c>
      <c r="B79" t="s">
        <v>231</v>
      </c>
      <c r="C79">
        <v>2018</v>
      </c>
      <c r="D79">
        <v>62.9</v>
      </c>
      <c r="E79">
        <v>2.58</v>
      </c>
      <c r="F79">
        <v>20044.099999999999</v>
      </c>
      <c r="G79">
        <v>239.41</v>
      </c>
      <c r="H79">
        <v>249.31</v>
      </c>
      <c r="I79">
        <v>4.03</v>
      </c>
      <c r="J79">
        <v>4.26</v>
      </c>
      <c r="K79">
        <v>21.62</v>
      </c>
      <c r="L79">
        <v>10.73</v>
      </c>
      <c r="M79">
        <v>3.33</v>
      </c>
      <c r="N79">
        <v>0.69</v>
      </c>
      <c r="O79">
        <v>2.25</v>
      </c>
      <c r="P79" t="s">
        <v>49</v>
      </c>
      <c r="Q79" t="s">
        <v>49</v>
      </c>
      <c r="R79" t="e">
        <f t="shared" si="10"/>
        <v>#N/A</v>
      </c>
      <c r="S79" t="str">
        <f t="shared" si="11"/>
        <v/>
      </c>
      <c r="T79" s="17">
        <f t="shared" si="12"/>
        <v>8.1328209874058643E-3</v>
      </c>
      <c r="U79" t="s">
        <v>222</v>
      </c>
      <c r="V79">
        <f t="shared" ca="1" si="13"/>
        <v>2.58</v>
      </c>
      <c r="W79">
        <f t="shared" ca="1" si="14"/>
        <v>20044.099999999999</v>
      </c>
    </row>
    <row r="80" spans="1:23" x14ac:dyDescent="0.3">
      <c r="A80" t="s">
        <v>232</v>
      </c>
      <c r="B80" t="s">
        <v>233</v>
      </c>
      <c r="C80">
        <v>2018</v>
      </c>
      <c r="D80">
        <v>68.010000000000005</v>
      </c>
      <c r="E80">
        <v>2.84</v>
      </c>
      <c r="F80">
        <v>20150.5</v>
      </c>
      <c r="G80">
        <v>239.16</v>
      </c>
      <c r="H80">
        <v>250.68</v>
      </c>
      <c r="I80">
        <v>3.93</v>
      </c>
      <c r="J80">
        <v>4.54</v>
      </c>
      <c r="K80">
        <v>40.98</v>
      </c>
      <c r="L80">
        <v>19.329999999999998</v>
      </c>
      <c r="M80">
        <v>3.3</v>
      </c>
      <c r="N80">
        <v>0.21</v>
      </c>
      <c r="O80">
        <v>2.69</v>
      </c>
      <c r="P80" t="s">
        <v>49</v>
      </c>
      <c r="Q80" t="s">
        <v>234</v>
      </c>
      <c r="R80">
        <f t="shared" si="10"/>
        <v>2.84</v>
      </c>
      <c r="S80" t="str">
        <f t="shared" si="11"/>
        <v>US JCPOA Withdrawal / Maximum Pressure Sanctions on Iran</v>
      </c>
      <c r="T80" s="17">
        <f t="shared" si="12"/>
        <v>5.3082952090641733E-3</v>
      </c>
      <c r="U80" t="s">
        <v>222</v>
      </c>
      <c r="V80">
        <f t="shared" ca="1" si="13"/>
        <v>2.84</v>
      </c>
      <c r="W80">
        <f t="shared" ca="1" si="14"/>
        <v>20150.5</v>
      </c>
    </row>
    <row r="81" spans="1:23" x14ac:dyDescent="0.3">
      <c r="A81" t="s">
        <v>235</v>
      </c>
      <c r="B81" t="s">
        <v>236</v>
      </c>
      <c r="C81">
        <v>2018</v>
      </c>
      <c r="D81">
        <v>69.83</v>
      </c>
      <c r="E81">
        <v>2.84</v>
      </c>
      <c r="F81">
        <v>20276.2</v>
      </c>
      <c r="G81">
        <v>239.77</v>
      </c>
      <c r="H81">
        <v>251.67</v>
      </c>
      <c r="I81">
        <v>3.77</v>
      </c>
      <c r="J81">
        <v>4.5599999999999996</v>
      </c>
      <c r="K81">
        <v>45.27</v>
      </c>
      <c r="L81">
        <v>16.87</v>
      </c>
      <c r="M81">
        <v>3.13</v>
      </c>
      <c r="N81">
        <v>0.39</v>
      </c>
      <c r="O81">
        <v>2.61</v>
      </c>
      <c r="P81" t="s">
        <v>237</v>
      </c>
      <c r="Q81" t="s">
        <v>49</v>
      </c>
      <c r="R81">
        <f t="shared" si="10"/>
        <v>2.84</v>
      </c>
      <c r="S81" t="str">
        <f t="shared" si="11"/>
        <v xml:space="preserve">US-China Trade War Escalation / Global Demand Shock, </v>
      </c>
      <c r="T81" s="17">
        <f t="shared" si="12"/>
        <v>6.2380586089676449E-3</v>
      </c>
      <c r="U81" t="s">
        <v>222</v>
      </c>
      <c r="V81">
        <f t="shared" ca="1" si="13"/>
        <v>2.84</v>
      </c>
      <c r="W81">
        <f t="shared" ca="1" si="14"/>
        <v>20276.2</v>
      </c>
    </row>
    <row r="82" spans="1:23" x14ac:dyDescent="0.3">
      <c r="A82" t="s">
        <v>238</v>
      </c>
      <c r="B82" t="s">
        <v>239</v>
      </c>
      <c r="C82">
        <v>2018</v>
      </c>
      <c r="D82">
        <v>59.01</v>
      </c>
      <c r="E82">
        <v>2.64</v>
      </c>
      <c r="F82">
        <v>20304.900000000001</v>
      </c>
      <c r="G82">
        <v>240.3</v>
      </c>
      <c r="H82">
        <v>252.71</v>
      </c>
      <c r="I82">
        <v>3.83</v>
      </c>
      <c r="J82">
        <v>4.79</v>
      </c>
      <c r="K82">
        <v>6.71</v>
      </c>
      <c r="L82">
        <v>4.76</v>
      </c>
      <c r="M82">
        <v>2.12</v>
      </c>
      <c r="N82">
        <v>0.5</v>
      </c>
      <c r="O82">
        <v>2.2200000000000002</v>
      </c>
      <c r="P82" t="s">
        <v>49</v>
      </c>
      <c r="Q82" t="s">
        <v>49</v>
      </c>
      <c r="R82" t="e">
        <f t="shared" si="10"/>
        <v>#N/A</v>
      </c>
      <c r="S82" t="str">
        <f t="shared" si="11"/>
        <v/>
      </c>
      <c r="T82" s="17">
        <f t="shared" si="12"/>
        <v>1.4154525995995204E-3</v>
      </c>
      <c r="U82" t="s">
        <v>222</v>
      </c>
      <c r="V82">
        <f t="shared" ca="1" si="13"/>
        <v>2.64</v>
      </c>
      <c r="W82">
        <f t="shared" ca="1" si="14"/>
        <v>20304.900000000001</v>
      </c>
    </row>
    <row r="83" spans="1:23" x14ac:dyDescent="0.3">
      <c r="A83" t="s">
        <v>240</v>
      </c>
      <c r="B83" t="s">
        <v>241</v>
      </c>
      <c r="C83">
        <v>2019</v>
      </c>
      <c r="D83">
        <v>54.66</v>
      </c>
      <c r="E83">
        <v>2.35</v>
      </c>
      <c r="F83">
        <v>20431.599999999999</v>
      </c>
      <c r="G83">
        <v>242.04</v>
      </c>
      <c r="H83">
        <v>253.36</v>
      </c>
      <c r="I83">
        <v>3.87</v>
      </c>
      <c r="J83">
        <v>4.3899999999999997</v>
      </c>
      <c r="K83">
        <v>-13.1</v>
      </c>
      <c r="L83">
        <v>-8.91</v>
      </c>
      <c r="M83">
        <v>1.93</v>
      </c>
      <c r="N83">
        <v>1.1000000000000001</v>
      </c>
      <c r="O83">
        <v>1.62</v>
      </c>
      <c r="P83" t="s">
        <v>49</v>
      </c>
      <c r="Q83" t="s">
        <v>242</v>
      </c>
      <c r="R83">
        <f t="shared" si="10"/>
        <v>2.35</v>
      </c>
      <c r="S83" t="str">
        <f t="shared" si="11"/>
        <v>US Imposes Sanctions Targeting Venezuelan State Oil (PDVSA)</v>
      </c>
      <c r="T83" s="17">
        <f t="shared" si="12"/>
        <v>6.2398731340709279E-3</v>
      </c>
      <c r="U83" t="s">
        <v>222</v>
      </c>
      <c r="V83">
        <f t="shared" ca="1" si="13"/>
        <v>2.35</v>
      </c>
      <c r="W83">
        <f t="shared" ca="1" si="14"/>
        <v>20431.599999999999</v>
      </c>
    </row>
    <row r="84" spans="1:23" x14ac:dyDescent="0.3">
      <c r="A84" t="s">
        <v>243</v>
      </c>
      <c r="B84" t="s">
        <v>244</v>
      </c>
      <c r="C84">
        <v>2019</v>
      </c>
      <c r="D84">
        <v>59.82</v>
      </c>
      <c r="E84">
        <v>2.79</v>
      </c>
      <c r="F84">
        <v>20602.3</v>
      </c>
      <c r="G84">
        <v>241.36</v>
      </c>
      <c r="H84">
        <v>255.25</v>
      </c>
      <c r="I84">
        <v>3.63</v>
      </c>
      <c r="J84">
        <v>4.03</v>
      </c>
      <c r="K84">
        <v>-12.04</v>
      </c>
      <c r="L84">
        <v>-1.76</v>
      </c>
      <c r="M84">
        <v>2.2400000000000002</v>
      </c>
      <c r="N84">
        <v>0.92</v>
      </c>
      <c r="O84">
        <v>1.82</v>
      </c>
      <c r="P84" t="s">
        <v>49</v>
      </c>
      <c r="Q84" t="s">
        <v>49</v>
      </c>
      <c r="R84" t="e">
        <f t="shared" si="10"/>
        <v>#N/A</v>
      </c>
      <c r="S84" t="str">
        <f t="shared" si="11"/>
        <v/>
      </c>
      <c r="T84" s="17">
        <f t="shared" si="12"/>
        <v>8.3547054562540524E-3</v>
      </c>
      <c r="U84" t="s">
        <v>222</v>
      </c>
      <c r="V84">
        <f t="shared" ca="1" si="13"/>
        <v>2.79</v>
      </c>
      <c r="W84">
        <f t="shared" ca="1" si="14"/>
        <v>20602.3</v>
      </c>
    </row>
    <row r="85" spans="1:23" x14ac:dyDescent="0.3">
      <c r="A85" t="s">
        <v>245</v>
      </c>
      <c r="B85" t="s">
        <v>246</v>
      </c>
      <c r="C85">
        <v>2019</v>
      </c>
      <c r="D85">
        <v>56.32</v>
      </c>
      <c r="E85">
        <v>2.65</v>
      </c>
      <c r="F85">
        <v>20843.3</v>
      </c>
      <c r="G85">
        <v>241.11</v>
      </c>
      <c r="H85">
        <v>256.08999999999997</v>
      </c>
      <c r="I85">
        <v>3.6</v>
      </c>
      <c r="J85">
        <v>3.66</v>
      </c>
      <c r="K85">
        <v>-19.350000000000001</v>
      </c>
      <c r="L85">
        <v>-6.69</v>
      </c>
      <c r="M85">
        <v>2.8</v>
      </c>
      <c r="N85">
        <v>0.56000000000000005</v>
      </c>
      <c r="O85">
        <v>1.76</v>
      </c>
      <c r="P85" t="s">
        <v>247</v>
      </c>
      <c r="Q85" t="s">
        <v>49</v>
      </c>
      <c r="R85">
        <f t="shared" si="10"/>
        <v>2.65</v>
      </c>
      <c r="S85" t="str">
        <f t="shared" si="11"/>
        <v xml:space="preserve">Drone Attack on Saudi Aramco Abqaiq Processing Facility, </v>
      </c>
      <c r="T85" s="17">
        <f t="shared" si="12"/>
        <v>1.1697723069754362E-2</v>
      </c>
      <c r="U85" t="s">
        <v>222</v>
      </c>
      <c r="V85">
        <f t="shared" ca="1" si="13"/>
        <v>2.65</v>
      </c>
      <c r="W85">
        <f t="shared" ca="1" si="14"/>
        <v>20843.3</v>
      </c>
    </row>
    <row r="86" spans="1:23" x14ac:dyDescent="0.3">
      <c r="A86" t="s">
        <v>248</v>
      </c>
      <c r="B86" t="s">
        <v>249</v>
      </c>
      <c r="C86">
        <v>2019</v>
      </c>
      <c r="D86">
        <v>56.95</v>
      </c>
      <c r="E86">
        <v>2.59</v>
      </c>
      <c r="F86">
        <v>20985.4</v>
      </c>
      <c r="G86">
        <v>242.53</v>
      </c>
      <c r="H86">
        <v>257.89</v>
      </c>
      <c r="I86">
        <v>3.6</v>
      </c>
      <c r="J86">
        <v>3.7</v>
      </c>
      <c r="K86">
        <v>-3.49</v>
      </c>
      <c r="L86">
        <v>-1.89</v>
      </c>
      <c r="M86">
        <v>3.35</v>
      </c>
      <c r="N86">
        <v>0.93</v>
      </c>
      <c r="O86">
        <v>2.0499999999999998</v>
      </c>
      <c r="P86" t="s">
        <v>49</v>
      </c>
      <c r="Q86" t="s">
        <v>49</v>
      </c>
      <c r="R86" t="e">
        <f t="shared" si="10"/>
        <v>#N/A</v>
      </c>
      <c r="S86" t="str">
        <f t="shared" si="11"/>
        <v/>
      </c>
      <c r="T86" s="17">
        <f t="shared" si="12"/>
        <v>6.8175384895867719E-3</v>
      </c>
      <c r="U86" t="s">
        <v>222</v>
      </c>
      <c r="V86">
        <f t="shared" ca="1" si="13"/>
        <v>2.59</v>
      </c>
      <c r="W86">
        <f t="shared" ca="1" si="14"/>
        <v>20985.4</v>
      </c>
    </row>
    <row r="87" spans="1:23" x14ac:dyDescent="0.3">
      <c r="A87" t="s">
        <v>250</v>
      </c>
      <c r="B87" t="s">
        <v>251</v>
      </c>
      <c r="C87">
        <v>2020</v>
      </c>
      <c r="D87">
        <v>45.95</v>
      </c>
      <c r="E87">
        <v>2.42</v>
      </c>
      <c r="F87">
        <v>20709.2</v>
      </c>
      <c r="G87">
        <v>244.24</v>
      </c>
      <c r="H87">
        <v>258.8</v>
      </c>
      <c r="I87">
        <v>3.84</v>
      </c>
      <c r="J87">
        <v>3.52</v>
      </c>
      <c r="K87">
        <v>-15.93</v>
      </c>
      <c r="L87">
        <v>2.98</v>
      </c>
      <c r="M87">
        <v>1.36</v>
      </c>
      <c r="N87">
        <v>0.91</v>
      </c>
      <c r="O87">
        <v>2.15</v>
      </c>
      <c r="P87" t="s">
        <v>252</v>
      </c>
      <c r="Q87" t="s">
        <v>49</v>
      </c>
      <c r="R87">
        <f t="shared" si="10"/>
        <v>2.42</v>
      </c>
      <c r="S87" t="str">
        <f t="shared" si="11"/>
        <v xml:space="preserve">COVID-19 Global Outbreak / International Travel Halts, </v>
      </c>
      <c r="T87" s="17">
        <f t="shared" si="12"/>
        <v>-1.3161531350367461E-2</v>
      </c>
      <c r="U87" t="s">
        <v>222</v>
      </c>
      <c r="V87">
        <f t="shared" ca="1" si="13"/>
        <v>2.42</v>
      </c>
      <c r="W87">
        <f t="shared" ca="1" si="14"/>
        <v>20709.2</v>
      </c>
    </row>
    <row r="88" spans="1:23" x14ac:dyDescent="0.3">
      <c r="A88" t="s">
        <v>253</v>
      </c>
      <c r="B88" t="s">
        <v>254</v>
      </c>
      <c r="C88">
        <v>2020</v>
      </c>
      <c r="D88">
        <v>27.97</v>
      </c>
      <c r="E88">
        <v>1.93</v>
      </c>
      <c r="F88">
        <v>19078</v>
      </c>
      <c r="G88">
        <v>252.99</v>
      </c>
      <c r="H88">
        <v>256.3</v>
      </c>
      <c r="I88">
        <v>13</v>
      </c>
      <c r="J88">
        <v>3.24</v>
      </c>
      <c r="K88">
        <v>-53.24</v>
      </c>
      <c r="L88">
        <v>-30.82</v>
      </c>
      <c r="M88">
        <v>-7.4</v>
      </c>
      <c r="N88">
        <v>4.82</v>
      </c>
      <c r="O88">
        <v>0.41</v>
      </c>
      <c r="P88" t="s">
        <v>255</v>
      </c>
      <c r="Q88" t="s">
        <v>256</v>
      </c>
      <c r="R88">
        <f t="shared" si="10"/>
        <v>1.93</v>
      </c>
      <c r="S88" t="str">
        <f t="shared" si="11"/>
        <v>COVID-19 Lockdowns / WTI Futures Dip Negative (-$37/bbl), Historic OPEC+ Production Accord Negotiated via US Leadership</v>
      </c>
      <c r="T88" s="17">
        <f t="shared" si="12"/>
        <v>-7.8766924844996478E-2</v>
      </c>
      <c r="U88" t="s">
        <v>222</v>
      </c>
      <c r="V88">
        <f t="shared" ca="1" si="13"/>
        <v>1.93</v>
      </c>
      <c r="W88">
        <f t="shared" ca="1" si="14"/>
        <v>19078</v>
      </c>
    </row>
    <row r="89" spans="1:23" x14ac:dyDescent="0.3">
      <c r="A89" t="s">
        <v>257</v>
      </c>
      <c r="B89" t="s">
        <v>258</v>
      </c>
      <c r="C89">
        <v>2020</v>
      </c>
      <c r="D89">
        <v>40.86</v>
      </c>
      <c r="E89">
        <v>2.1800000000000002</v>
      </c>
      <c r="F89">
        <v>20558.900000000001</v>
      </c>
      <c r="G89">
        <v>251.78</v>
      </c>
      <c r="H89">
        <v>259.20999999999998</v>
      </c>
      <c r="I89">
        <v>8.82</v>
      </c>
      <c r="J89">
        <v>2.96</v>
      </c>
      <c r="K89">
        <v>-27.45</v>
      </c>
      <c r="L89">
        <v>-17.739999999999998</v>
      </c>
      <c r="M89">
        <v>-1.36</v>
      </c>
      <c r="N89">
        <v>4.43</v>
      </c>
      <c r="O89">
        <v>1.22</v>
      </c>
      <c r="P89" t="s">
        <v>49</v>
      </c>
      <c r="Q89" t="s">
        <v>49</v>
      </c>
      <c r="R89" t="e">
        <f t="shared" si="10"/>
        <v>#N/A</v>
      </c>
      <c r="S89" t="str">
        <f t="shared" si="11"/>
        <v/>
      </c>
      <c r="T89" s="17">
        <f t="shared" si="12"/>
        <v>7.7623440612223593E-2</v>
      </c>
      <c r="U89" t="s">
        <v>222</v>
      </c>
      <c r="V89">
        <f t="shared" ca="1" si="13"/>
        <v>2.1800000000000002</v>
      </c>
      <c r="W89">
        <f t="shared" ca="1" si="14"/>
        <v>20558.900000000001</v>
      </c>
    </row>
    <row r="90" spans="1:23" x14ac:dyDescent="0.3">
      <c r="A90" t="s">
        <v>259</v>
      </c>
      <c r="B90" t="s">
        <v>260</v>
      </c>
      <c r="C90">
        <v>2020</v>
      </c>
      <c r="D90">
        <v>42.6</v>
      </c>
      <c r="E90">
        <v>2.15</v>
      </c>
      <c r="F90">
        <v>20791.900000000001</v>
      </c>
      <c r="G90">
        <v>251.86</v>
      </c>
      <c r="H90">
        <v>261.11</v>
      </c>
      <c r="I90">
        <v>6.77</v>
      </c>
      <c r="J90">
        <v>2.77</v>
      </c>
      <c r="K90">
        <v>-25.2</v>
      </c>
      <c r="L90">
        <v>-16.989999999999998</v>
      </c>
      <c r="M90">
        <v>-0.92</v>
      </c>
      <c r="N90">
        <v>3.85</v>
      </c>
      <c r="O90">
        <v>1.25</v>
      </c>
      <c r="P90" t="s">
        <v>49</v>
      </c>
      <c r="Q90" t="s">
        <v>49</v>
      </c>
      <c r="R90" t="e">
        <f t="shared" si="10"/>
        <v>#N/A</v>
      </c>
      <c r="S90" t="str">
        <f t="shared" si="11"/>
        <v/>
      </c>
      <c r="T90" s="17">
        <f t="shared" si="12"/>
        <v>1.1333291178029947E-2</v>
      </c>
      <c r="U90" t="s">
        <v>222</v>
      </c>
      <c r="V90">
        <f t="shared" ca="1" si="13"/>
        <v>2.15</v>
      </c>
      <c r="W90">
        <f t="shared" ca="1" si="14"/>
        <v>20791.900000000001</v>
      </c>
    </row>
    <row r="91" spans="1:23" x14ac:dyDescent="0.3">
      <c r="A91" t="s">
        <v>261</v>
      </c>
      <c r="B91" t="s">
        <v>262</v>
      </c>
      <c r="C91">
        <v>2021</v>
      </c>
      <c r="D91">
        <v>57.87</v>
      </c>
      <c r="E91">
        <v>2.5499999999999998</v>
      </c>
      <c r="F91">
        <v>21082.1</v>
      </c>
      <c r="G91">
        <v>252.77</v>
      </c>
      <c r="H91">
        <v>263.77999999999997</v>
      </c>
      <c r="I91">
        <v>6.23</v>
      </c>
      <c r="J91">
        <v>2.86</v>
      </c>
      <c r="K91">
        <v>25.94</v>
      </c>
      <c r="L91">
        <v>5.37</v>
      </c>
      <c r="M91">
        <v>1.8</v>
      </c>
      <c r="N91">
        <v>3.49</v>
      </c>
      <c r="O91">
        <v>1.92</v>
      </c>
      <c r="P91" t="s">
        <v>263</v>
      </c>
      <c r="Q91" t="s">
        <v>264</v>
      </c>
      <c r="R91">
        <f t="shared" si="10"/>
        <v>2.5499999999999998</v>
      </c>
      <c r="S91" t="str">
        <f t="shared" si="11"/>
        <v>Texas Winter Storm Uri Freeze / Refineries Freeze, Executive Order 13990: Revokes Keystone XL Pipeline Permit</v>
      </c>
      <c r="T91" s="17">
        <f t="shared" si="12"/>
        <v>1.3957358394374619E-2</v>
      </c>
      <c r="U91" t="s">
        <v>265</v>
      </c>
      <c r="V91">
        <f t="shared" ca="1" si="13"/>
        <v>2.5499999999999998</v>
      </c>
      <c r="W91">
        <f t="shared" ca="1" si="14"/>
        <v>21082.1</v>
      </c>
    </row>
    <row r="92" spans="1:23" x14ac:dyDescent="0.3">
      <c r="A92" t="s">
        <v>266</v>
      </c>
      <c r="B92" t="s">
        <v>267</v>
      </c>
      <c r="C92">
        <v>2021</v>
      </c>
      <c r="D92">
        <v>66.08</v>
      </c>
      <c r="E92">
        <v>2.96</v>
      </c>
      <c r="F92">
        <v>21440.9</v>
      </c>
      <c r="G92">
        <v>255.41</v>
      </c>
      <c r="H92">
        <v>268.55</v>
      </c>
      <c r="I92">
        <v>5.93</v>
      </c>
      <c r="J92">
        <v>3</v>
      </c>
      <c r="K92">
        <v>136.25</v>
      </c>
      <c r="L92">
        <v>53.37</v>
      </c>
      <c r="M92">
        <v>12.39</v>
      </c>
      <c r="N92">
        <v>0.96</v>
      </c>
      <c r="O92">
        <v>4.78</v>
      </c>
      <c r="P92" t="s">
        <v>268</v>
      </c>
      <c r="Q92" t="s">
        <v>49</v>
      </c>
      <c r="R92">
        <f t="shared" si="10"/>
        <v>2.96</v>
      </c>
      <c r="S92" t="str">
        <f t="shared" si="11"/>
        <v xml:space="preserve">Colonial Pipeline Ransomware Cyberattack, </v>
      </c>
      <c r="T92" s="17">
        <f t="shared" si="12"/>
        <v>1.7019177406425445E-2</v>
      </c>
      <c r="U92" t="s">
        <v>265</v>
      </c>
      <c r="V92">
        <f t="shared" ca="1" si="13"/>
        <v>2.96</v>
      </c>
      <c r="W92">
        <f t="shared" ca="1" si="14"/>
        <v>21440.9</v>
      </c>
    </row>
    <row r="93" spans="1:23" x14ac:dyDescent="0.3">
      <c r="A93" t="s">
        <v>269</v>
      </c>
      <c r="B93" t="s">
        <v>270</v>
      </c>
      <c r="C93">
        <v>2021</v>
      </c>
      <c r="D93">
        <v>70.680000000000007</v>
      </c>
      <c r="E93">
        <v>3.15</v>
      </c>
      <c r="F93">
        <v>21617.8</v>
      </c>
      <c r="G93">
        <v>260.18</v>
      </c>
      <c r="H93">
        <v>272.83</v>
      </c>
      <c r="I93">
        <v>5.07</v>
      </c>
      <c r="J93">
        <v>2.86</v>
      </c>
      <c r="K93">
        <v>72.98</v>
      </c>
      <c r="L93">
        <v>44.5</v>
      </c>
      <c r="M93">
        <v>5.15</v>
      </c>
      <c r="N93">
        <v>3.34</v>
      </c>
      <c r="O93">
        <v>5.25</v>
      </c>
      <c r="P93" t="s">
        <v>49</v>
      </c>
      <c r="Q93" t="s">
        <v>49</v>
      </c>
      <c r="R93" t="e">
        <f t="shared" si="10"/>
        <v>#N/A</v>
      </c>
      <c r="S93" t="str">
        <f t="shared" si="11"/>
        <v/>
      </c>
      <c r="T93" s="17">
        <f t="shared" si="12"/>
        <v>8.250586495902601E-3</v>
      </c>
      <c r="U93" t="s">
        <v>265</v>
      </c>
      <c r="V93">
        <f t="shared" ca="1" si="13"/>
        <v>3.15</v>
      </c>
      <c r="W93">
        <f t="shared" ca="1" si="14"/>
        <v>21617.8</v>
      </c>
    </row>
    <row r="94" spans="1:23" x14ac:dyDescent="0.3">
      <c r="A94" t="s">
        <v>271</v>
      </c>
      <c r="B94" t="s">
        <v>272</v>
      </c>
      <c r="C94">
        <v>2021</v>
      </c>
      <c r="D94">
        <v>77.31</v>
      </c>
      <c r="E94">
        <v>3.33</v>
      </c>
      <c r="F94">
        <v>21988.7</v>
      </c>
      <c r="G94">
        <v>267.24</v>
      </c>
      <c r="H94">
        <v>278.83999999999997</v>
      </c>
      <c r="I94">
        <v>4.16</v>
      </c>
      <c r="J94">
        <v>3.07</v>
      </c>
      <c r="K94">
        <v>81.48</v>
      </c>
      <c r="L94">
        <v>54.88</v>
      </c>
      <c r="M94">
        <v>5.76</v>
      </c>
      <c r="N94">
        <v>6.11</v>
      </c>
      <c r="O94">
        <v>6.79</v>
      </c>
      <c r="P94" t="s">
        <v>49</v>
      </c>
      <c r="Q94" t="s">
        <v>49</v>
      </c>
      <c r="R94" t="e">
        <f t="shared" si="10"/>
        <v>#N/A</v>
      </c>
      <c r="S94" t="str">
        <f t="shared" si="11"/>
        <v/>
      </c>
      <c r="T94" s="17">
        <f t="shared" si="12"/>
        <v>1.7157157527593059E-2</v>
      </c>
      <c r="U94" t="s">
        <v>265</v>
      </c>
      <c r="V94">
        <f t="shared" ca="1" si="13"/>
        <v>3.33</v>
      </c>
      <c r="W94">
        <f t="shared" ca="1" si="14"/>
        <v>21988.7</v>
      </c>
    </row>
    <row r="95" spans="1:23" x14ac:dyDescent="0.3">
      <c r="A95" t="s">
        <v>273</v>
      </c>
      <c r="B95" t="s">
        <v>274</v>
      </c>
      <c r="C95">
        <v>2022</v>
      </c>
      <c r="D95">
        <v>94.64</v>
      </c>
      <c r="E95">
        <v>3.64</v>
      </c>
      <c r="F95">
        <v>21932.7</v>
      </c>
      <c r="G95">
        <v>274.8</v>
      </c>
      <c r="H95">
        <v>284.95999999999998</v>
      </c>
      <c r="I95">
        <v>3.86</v>
      </c>
      <c r="J95">
        <v>3.73</v>
      </c>
      <c r="K95">
        <v>63.54</v>
      </c>
      <c r="L95">
        <v>42.75</v>
      </c>
      <c r="M95">
        <v>4.03</v>
      </c>
      <c r="N95">
        <v>8.7200000000000006</v>
      </c>
      <c r="O95">
        <v>8.0299999999999994</v>
      </c>
      <c r="P95" t="s">
        <v>275</v>
      </c>
      <c r="Q95" t="s">
        <v>276</v>
      </c>
      <c r="R95">
        <f t="shared" si="10"/>
        <v>3.64</v>
      </c>
      <c r="S95" t="str">
        <f t="shared" si="11"/>
        <v>Russia Invades Ukraine / Global Energy Supply Panic, EO 14066: US Bans All Russian Energy Imports</v>
      </c>
      <c r="T95" s="17">
        <f t="shared" si="12"/>
        <v>-2.54676265536391E-3</v>
      </c>
      <c r="U95" t="s">
        <v>265</v>
      </c>
      <c r="V95">
        <f t="shared" ca="1" si="13"/>
        <v>3.64</v>
      </c>
      <c r="W95">
        <f t="shared" ca="1" si="14"/>
        <v>21932.7</v>
      </c>
    </row>
    <row r="96" spans="1:23" x14ac:dyDescent="0.3">
      <c r="A96" t="s">
        <v>277</v>
      </c>
      <c r="B96" t="s">
        <v>278</v>
      </c>
      <c r="C96">
        <v>2022</v>
      </c>
      <c r="D96">
        <v>108.84</v>
      </c>
      <c r="E96">
        <v>4.47</v>
      </c>
      <c r="F96">
        <v>21967</v>
      </c>
      <c r="G96">
        <v>285.29000000000002</v>
      </c>
      <c r="H96">
        <v>291.64999999999998</v>
      </c>
      <c r="I96">
        <v>3.63</v>
      </c>
      <c r="J96">
        <v>5.2</v>
      </c>
      <c r="K96">
        <v>64.709999999999994</v>
      </c>
      <c r="L96">
        <v>51.01</v>
      </c>
      <c r="M96">
        <v>2.4500000000000002</v>
      </c>
      <c r="N96">
        <v>11.7</v>
      </c>
      <c r="O96">
        <v>8.6</v>
      </c>
      <c r="P96" t="s">
        <v>279</v>
      </c>
      <c r="Q96" t="s">
        <v>280</v>
      </c>
      <c r="R96">
        <f t="shared" si="10"/>
        <v>4.47</v>
      </c>
      <c r="S96" t="str">
        <f t="shared" si="11"/>
        <v>European Gas Crisis &amp; Nord Stream Pipeline Supply Cuts, EO: Record 180M Barrel Strategic Petroleum Reserve (SPR) Release</v>
      </c>
      <c r="T96" s="17">
        <f t="shared" si="12"/>
        <v>1.563874944717325E-3</v>
      </c>
      <c r="U96" t="s">
        <v>265</v>
      </c>
      <c r="V96">
        <f t="shared" ca="1" si="13"/>
        <v>4.47</v>
      </c>
      <c r="W96">
        <f t="shared" ca="1" si="14"/>
        <v>21967</v>
      </c>
    </row>
    <row r="97" spans="1:23" x14ac:dyDescent="0.3">
      <c r="A97" t="s">
        <v>281</v>
      </c>
      <c r="B97" t="s">
        <v>282</v>
      </c>
      <c r="C97">
        <v>2022</v>
      </c>
      <c r="D97">
        <v>93.24</v>
      </c>
      <c r="E97">
        <v>4.08</v>
      </c>
      <c r="F97">
        <v>22125.599999999999</v>
      </c>
      <c r="G97">
        <v>294.62</v>
      </c>
      <c r="H97">
        <v>295.45999999999998</v>
      </c>
      <c r="I97">
        <v>3.53</v>
      </c>
      <c r="J97">
        <v>5.58</v>
      </c>
      <c r="K97">
        <v>31.92</v>
      </c>
      <c r="L97">
        <v>29.52</v>
      </c>
      <c r="M97">
        <v>2.35</v>
      </c>
      <c r="N97">
        <v>13.24</v>
      </c>
      <c r="O97">
        <v>8.2899999999999991</v>
      </c>
      <c r="P97" t="s">
        <v>283</v>
      </c>
      <c r="Q97" t="s">
        <v>284</v>
      </c>
      <c r="R97">
        <f t="shared" si="10"/>
        <v>4.08</v>
      </c>
      <c r="S97" t="str">
        <f t="shared" si="11"/>
        <v>US Retail Gas Reaches Record $5.01/gal Peak / Food Inflation Spikes, Inflation Reduction Act (IRA) of 2022 Signed Into Law</v>
      </c>
      <c r="T97" s="17">
        <f t="shared" si="12"/>
        <v>7.2199207902763352E-3</v>
      </c>
      <c r="U97" t="s">
        <v>265</v>
      </c>
      <c r="V97">
        <f t="shared" ca="1" si="13"/>
        <v>4.08</v>
      </c>
      <c r="W97">
        <f t="shared" ca="1" si="14"/>
        <v>22125.599999999999</v>
      </c>
    </row>
    <row r="98" spans="1:23" x14ac:dyDescent="0.3">
      <c r="A98" t="s">
        <v>285</v>
      </c>
      <c r="B98" t="s">
        <v>286</v>
      </c>
      <c r="C98">
        <v>2022</v>
      </c>
      <c r="D98">
        <v>82.62</v>
      </c>
      <c r="E98">
        <v>3.59</v>
      </c>
      <c r="F98">
        <v>22278.3</v>
      </c>
      <c r="G98">
        <v>299.33</v>
      </c>
      <c r="H98">
        <v>298.54000000000002</v>
      </c>
      <c r="I98">
        <v>3.57</v>
      </c>
      <c r="J98">
        <v>6.68</v>
      </c>
      <c r="K98">
        <v>6.87</v>
      </c>
      <c r="L98">
        <v>7.81</v>
      </c>
      <c r="M98">
        <v>1.32</v>
      </c>
      <c r="N98">
        <v>12.01</v>
      </c>
      <c r="O98">
        <v>7.06</v>
      </c>
      <c r="P98" t="s">
        <v>287</v>
      </c>
      <c r="Q98" t="s">
        <v>288</v>
      </c>
      <c r="R98">
        <f t="shared" si="10"/>
        <v>3.59</v>
      </c>
      <c r="S98" t="str">
        <f t="shared" si="11"/>
        <v>OPEC+ Cuts Production by 2M Barrels/Day, G7, EU, &amp; Australia Implement $60 Russian Oil Price Cap</v>
      </c>
      <c r="T98" s="17">
        <f t="shared" si="12"/>
        <v>6.9015077557219584E-3</v>
      </c>
      <c r="U98" t="s">
        <v>265</v>
      </c>
      <c r="V98">
        <f t="shared" ca="1" si="13"/>
        <v>3.59</v>
      </c>
      <c r="W98">
        <f t="shared" ca="1" si="14"/>
        <v>22278.3</v>
      </c>
    </row>
    <row r="99" spans="1:23" x14ac:dyDescent="0.3">
      <c r="A99" t="s">
        <v>289</v>
      </c>
      <c r="B99" t="s">
        <v>290</v>
      </c>
      <c r="C99">
        <v>2023</v>
      </c>
      <c r="D99">
        <v>76.12</v>
      </c>
      <c r="E99">
        <v>3.38</v>
      </c>
      <c r="F99">
        <v>22439.599999999999</v>
      </c>
      <c r="G99">
        <v>301.83999999999997</v>
      </c>
      <c r="H99">
        <v>301.22000000000003</v>
      </c>
      <c r="I99">
        <v>3.53</v>
      </c>
      <c r="J99">
        <v>6.38</v>
      </c>
      <c r="K99">
        <v>-19.57</v>
      </c>
      <c r="L99">
        <v>-7.14</v>
      </c>
      <c r="M99">
        <v>2.31</v>
      </c>
      <c r="N99">
        <v>9.84</v>
      </c>
      <c r="O99">
        <v>5.71</v>
      </c>
      <c r="P99" t="s">
        <v>49</v>
      </c>
      <c r="Q99" t="s">
        <v>49</v>
      </c>
      <c r="R99" t="e">
        <f t="shared" si="10"/>
        <v>#N/A</v>
      </c>
      <c r="S99" t="str">
        <f t="shared" si="11"/>
        <v/>
      </c>
      <c r="T99" s="17">
        <f t="shared" si="12"/>
        <v>7.240229281408439E-3</v>
      </c>
      <c r="U99" t="s">
        <v>265</v>
      </c>
      <c r="V99">
        <f t="shared" ca="1" si="13"/>
        <v>3.38</v>
      </c>
      <c r="W99">
        <f t="shared" ca="1" si="14"/>
        <v>22439.599999999999</v>
      </c>
    </row>
    <row r="100" spans="1:23" x14ac:dyDescent="0.3">
      <c r="A100" t="s">
        <v>291</v>
      </c>
      <c r="B100" t="s">
        <v>292</v>
      </c>
      <c r="C100">
        <v>2023</v>
      </c>
      <c r="D100">
        <v>73.64</v>
      </c>
      <c r="E100">
        <v>3.57</v>
      </c>
      <c r="F100">
        <v>22580.5</v>
      </c>
      <c r="G100">
        <v>302.02</v>
      </c>
      <c r="H100">
        <v>303.41000000000003</v>
      </c>
      <c r="I100">
        <v>3.54</v>
      </c>
      <c r="J100">
        <v>6.49</v>
      </c>
      <c r="K100">
        <v>-32.340000000000003</v>
      </c>
      <c r="L100">
        <v>-20.13</v>
      </c>
      <c r="M100">
        <v>2.79</v>
      </c>
      <c r="N100">
        <v>5.86</v>
      </c>
      <c r="O100">
        <v>4.03</v>
      </c>
      <c r="P100" t="s">
        <v>49</v>
      </c>
      <c r="Q100" t="s">
        <v>49</v>
      </c>
      <c r="R100" t="e">
        <f t="shared" si="10"/>
        <v>#N/A</v>
      </c>
      <c r="S100" t="str">
        <f t="shared" si="11"/>
        <v/>
      </c>
      <c r="T100" s="17">
        <f t="shared" si="12"/>
        <v>6.2790780584325301E-3</v>
      </c>
      <c r="U100" t="s">
        <v>265</v>
      </c>
      <c r="V100">
        <f t="shared" ca="1" si="13"/>
        <v>3.57</v>
      </c>
      <c r="W100">
        <f t="shared" ca="1" si="14"/>
        <v>22580.5</v>
      </c>
    </row>
    <row r="101" spans="1:23" x14ac:dyDescent="0.3">
      <c r="A101" t="s">
        <v>293</v>
      </c>
      <c r="B101" t="s">
        <v>294</v>
      </c>
      <c r="C101">
        <v>2023</v>
      </c>
      <c r="D101">
        <v>81.93</v>
      </c>
      <c r="E101">
        <v>3.74</v>
      </c>
      <c r="F101">
        <v>22841</v>
      </c>
      <c r="G101">
        <v>303.36</v>
      </c>
      <c r="H101">
        <v>305.97000000000003</v>
      </c>
      <c r="I101">
        <v>3.63</v>
      </c>
      <c r="J101">
        <v>7.01</v>
      </c>
      <c r="K101">
        <v>-12.13</v>
      </c>
      <c r="L101">
        <v>-8.33</v>
      </c>
      <c r="M101">
        <v>3.23</v>
      </c>
      <c r="N101">
        <v>2.97</v>
      </c>
      <c r="O101">
        <v>3.56</v>
      </c>
      <c r="P101" t="s">
        <v>49</v>
      </c>
      <c r="Q101" t="s">
        <v>49</v>
      </c>
      <c r="R101" t="e">
        <f t="shared" si="10"/>
        <v>#N/A</v>
      </c>
      <c r="S101" t="str">
        <f t="shared" si="11"/>
        <v/>
      </c>
      <c r="T101" s="17">
        <f t="shared" si="12"/>
        <v>1.1536502734660337E-2</v>
      </c>
      <c r="U101" t="s">
        <v>265</v>
      </c>
      <c r="V101">
        <f t="shared" ca="1" si="13"/>
        <v>3.74</v>
      </c>
      <c r="W101">
        <f t="shared" ca="1" si="14"/>
        <v>22841</v>
      </c>
    </row>
    <row r="102" spans="1:23" x14ac:dyDescent="0.3">
      <c r="A102" t="s">
        <v>295</v>
      </c>
      <c r="B102" t="s">
        <v>296</v>
      </c>
      <c r="C102">
        <v>2023</v>
      </c>
      <c r="D102">
        <v>78.64</v>
      </c>
      <c r="E102">
        <v>3.38</v>
      </c>
      <c r="F102">
        <v>23033.8</v>
      </c>
      <c r="G102">
        <v>304.39999999999998</v>
      </c>
      <c r="H102">
        <v>308.18</v>
      </c>
      <c r="I102">
        <v>3.8</v>
      </c>
      <c r="J102">
        <v>7.33</v>
      </c>
      <c r="K102">
        <v>-4.82</v>
      </c>
      <c r="L102">
        <v>-5.85</v>
      </c>
      <c r="M102">
        <v>3.39</v>
      </c>
      <c r="N102">
        <v>1.69</v>
      </c>
      <c r="O102">
        <v>3.23</v>
      </c>
      <c r="P102" t="s">
        <v>297</v>
      </c>
      <c r="Q102" t="s">
        <v>49</v>
      </c>
      <c r="R102">
        <f t="shared" si="10"/>
        <v>3.38</v>
      </c>
      <c r="S102" t="str">
        <f t="shared" si="11"/>
        <v xml:space="preserve">Middle East Regional Conflict Escalation / Red Sea Risks, </v>
      </c>
      <c r="T102" s="17">
        <f t="shared" si="12"/>
        <v>8.4409614290092971E-3</v>
      </c>
      <c r="U102" t="s">
        <v>265</v>
      </c>
      <c r="V102">
        <f t="shared" ca="1" si="13"/>
        <v>3.38</v>
      </c>
      <c r="W102">
        <f t="shared" ca="1" si="14"/>
        <v>23033.8</v>
      </c>
    </row>
    <row r="103" spans="1:23" x14ac:dyDescent="0.3">
      <c r="A103" t="s">
        <v>298</v>
      </c>
      <c r="B103" t="s">
        <v>299</v>
      </c>
      <c r="C103">
        <v>2024</v>
      </c>
      <c r="D103">
        <v>77.48</v>
      </c>
      <c r="E103">
        <v>3.22</v>
      </c>
      <c r="F103">
        <v>23082.1</v>
      </c>
      <c r="G103">
        <v>305.20999999999998</v>
      </c>
      <c r="H103">
        <v>310.95999999999998</v>
      </c>
      <c r="I103">
        <v>3.83</v>
      </c>
      <c r="J103">
        <v>6.74</v>
      </c>
      <c r="K103">
        <v>1.79</v>
      </c>
      <c r="L103">
        <v>-4.7300000000000004</v>
      </c>
      <c r="M103">
        <v>2.86</v>
      </c>
      <c r="N103">
        <v>1.1200000000000001</v>
      </c>
      <c r="O103">
        <v>3.23</v>
      </c>
      <c r="P103" t="s">
        <v>300</v>
      </c>
      <c r="Q103" t="s">
        <v>301</v>
      </c>
      <c r="R103">
        <f t="shared" ref="R103:R134" si="15">IF(AND(OR(P$4=FALSE, P103="None"), OR(Q$4=FALSE, Q103="None")), NA(), E103)</f>
        <v>3.22</v>
      </c>
      <c r="S103" t="str">
        <f t="shared" ref="S103:S113" si="16">IF(AND(P103="None",Q103="None"),"",IF(AND(P$4=TRUE,P103&lt;&gt;"None"),P103&amp;", ","")&amp;IF(AND(Q$4=TRUE,Q103&lt;&gt;"None"),Q103,""))</f>
        <v>Red Sea Shipping Disruptions &amp; Houthi Maritime Attacks, Department of Energy Temporary Freeze on LNG Export Approvals</v>
      </c>
      <c r="T103" s="17">
        <f t="shared" ref="T103:T113" si="17">IF(F103="",NA(),IFERROR(F103/F102-1,NA()))</f>
        <v>2.0969184415944309E-3</v>
      </c>
      <c r="U103" t="s">
        <v>265</v>
      </c>
      <c r="V103">
        <f t="shared" ref="V103:V113" ca="1" si="18">INDIRECT(ADDRESS(ROW(),$F$3))</f>
        <v>3.22</v>
      </c>
      <c r="W103">
        <f t="shared" ref="W103:W113" ca="1" si="19">INDIRECT(ADDRESS(ROW(),$F$4))</f>
        <v>23082.1</v>
      </c>
    </row>
    <row r="104" spans="1:23" x14ac:dyDescent="0.3">
      <c r="A104" t="s">
        <v>302</v>
      </c>
      <c r="B104" t="s">
        <v>303</v>
      </c>
      <c r="C104">
        <v>2024</v>
      </c>
      <c r="D104">
        <v>81.709999999999994</v>
      </c>
      <c r="E104">
        <v>3.56</v>
      </c>
      <c r="F104">
        <v>23286.5</v>
      </c>
      <c r="G104">
        <v>305.45</v>
      </c>
      <c r="H104">
        <v>313.08</v>
      </c>
      <c r="I104">
        <v>3.96</v>
      </c>
      <c r="J104">
        <v>6.99</v>
      </c>
      <c r="K104">
        <v>10.96</v>
      </c>
      <c r="L104">
        <v>-0.28000000000000003</v>
      </c>
      <c r="M104">
        <v>3.13</v>
      </c>
      <c r="N104">
        <v>1.1399999999999999</v>
      </c>
      <c r="O104">
        <v>3.19</v>
      </c>
      <c r="P104" t="s">
        <v>49</v>
      </c>
      <c r="Q104" t="s">
        <v>49</v>
      </c>
      <c r="R104" t="e">
        <f t="shared" si="15"/>
        <v>#N/A</v>
      </c>
      <c r="S104" t="str">
        <f t="shared" si="16"/>
        <v/>
      </c>
      <c r="T104" s="17">
        <f t="shared" si="17"/>
        <v>8.8553467838714539E-3</v>
      </c>
      <c r="U104" t="s">
        <v>265</v>
      </c>
      <c r="V104">
        <f t="shared" ca="1" si="18"/>
        <v>3.56</v>
      </c>
      <c r="W104">
        <f t="shared" ca="1" si="19"/>
        <v>23286.5</v>
      </c>
    </row>
    <row r="105" spans="1:23" x14ac:dyDescent="0.3">
      <c r="A105" t="s">
        <v>304</v>
      </c>
      <c r="B105" t="s">
        <v>305</v>
      </c>
      <c r="C105">
        <v>2024</v>
      </c>
      <c r="D105">
        <v>76.5</v>
      </c>
      <c r="E105">
        <v>3.37</v>
      </c>
      <c r="F105">
        <v>23478.6</v>
      </c>
      <c r="G105">
        <v>306.64</v>
      </c>
      <c r="H105">
        <v>314.11</v>
      </c>
      <c r="I105">
        <v>4.17</v>
      </c>
      <c r="J105">
        <v>6.54</v>
      </c>
      <c r="K105">
        <v>-6.63</v>
      </c>
      <c r="L105">
        <v>-9.89</v>
      </c>
      <c r="M105">
        <v>2.79</v>
      </c>
      <c r="N105">
        <v>1.08</v>
      </c>
      <c r="O105">
        <v>2.66</v>
      </c>
      <c r="P105" t="s">
        <v>306</v>
      </c>
      <c r="Q105" t="s">
        <v>49</v>
      </c>
      <c r="R105">
        <f t="shared" si="15"/>
        <v>3.37</v>
      </c>
      <c r="S105" t="str">
        <f t="shared" si="16"/>
        <v xml:space="preserve">Global EV Adoption Benchmarks / Peak Internal Combustion Growth, </v>
      </c>
      <c r="T105" s="17">
        <f t="shared" si="17"/>
        <v>8.249414897043339E-3</v>
      </c>
      <c r="U105" t="s">
        <v>265</v>
      </c>
      <c r="V105">
        <f t="shared" ca="1" si="18"/>
        <v>3.37</v>
      </c>
      <c r="W105">
        <f t="shared" ca="1" si="19"/>
        <v>23478.6</v>
      </c>
    </row>
    <row r="106" spans="1:23" x14ac:dyDescent="0.3">
      <c r="A106" t="s">
        <v>307</v>
      </c>
      <c r="B106" t="s">
        <v>308</v>
      </c>
      <c r="C106">
        <v>2024</v>
      </c>
      <c r="D106">
        <v>70.75</v>
      </c>
      <c r="E106">
        <v>3.07</v>
      </c>
      <c r="F106">
        <v>23586.5</v>
      </c>
      <c r="G106">
        <v>308.89999999999998</v>
      </c>
      <c r="H106">
        <v>316.58999999999997</v>
      </c>
      <c r="I106">
        <v>4.13</v>
      </c>
      <c r="J106">
        <v>6.61</v>
      </c>
      <c r="K106">
        <v>-10.029999999999999</v>
      </c>
      <c r="L106">
        <v>-9.17</v>
      </c>
      <c r="M106">
        <v>2.4</v>
      </c>
      <c r="N106">
        <v>1.48</v>
      </c>
      <c r="O106">
        <v>2.73</v>
      </c>
      <c r="P106" t="s">
        <v>49</v>
      </c>
      <c r="Q106" t="s">
        <v>49</v>
      </c>
      <c r="R106" t="e">
        <f t="shared" si="15"/>
        <v>#N/A</v>
      </c>
      <c r="S106" t="str">
        <f t="shared" si="16"/>
        <v/>
      </c>
      <c r="T106" s="17">
        <f t="shared" si="17"/>
        <v>4.5956743587778348E-3</v>
      </c>
      <c r="U106" t="s">
        <v>265</v>
      </c>
      <c r="V106">
        <f t="shared" ca="1" si="18"/>
        <v>3.07</v>
      </c>
      <c r="W106">
        <f t="shared" ca="1" si="19"/>
        <v>23586.5</v>
      </c>
    </row>
    <row r="107" spans="1:23" x14ac:dyDescent="0.3">
      <c r="A107" t="s">
        <v>309</v>
      </c>
      <c r="B107" t="s">
        <v>310</v>
      </c>
      <c r="C107">
        <v>2025</v>
      </c>
      <c r="D107">
        <v>71.91</v>
      </c>
      <c r="E107">
        <v>3.09</v>
      </c>
      <c r="F107">
        <v>23548.2</v>
      </c>
      <c r="G107">
        <v>311.31</v>
      </c>
      <c r="H107">
        <v>319.45999999999998</v>
      </c>
      <c r="I107">
        <v>4.13</v>
      </c>
      <c r="J107">
        <v>6.83</v>
      </c>
      <c r="K107">
        <v>-7.19</v>
      </c>
      <c r="L107">
        <v>-4.04</v>
      </c>
      <c r="M107">
        <v>2.02</v>
      </c>
      <c r="N107">
        <v>2</v>
      </c>
      <c r="O107">
        <v>2.73</v>
      </c>
      <c r="P107" t="s">
        <v>311</v>
      </c>
      <c r="Q107" t="s">
        <v>312</v>
      </c>
      <c r="R107">
        <f t="shared" si="15"/>
        <v>3.09</v>
      </c>
      <c r="S107" t="str">
        <f t="shared" si="16"/>
        <v>Middle East Maritime Chokepoint Escalation, EO: Re-imposition of Maximum Pressure Sanctions on Iran</v>
      </c>
      <c r="T107" s="17">
        <f t="shared" si="17"/>
        <v>-1.6238102304283464E-3</v>
      </c>
      <c r="U107" t="s">
        <v>222</v>
      </c>
      <c r="V107">
        <f t="shared" ca="1" si="18"/>
        <v>3.09</v>
      </c>
      <c r="W107">
        <f t="shared" ca="1" si="19"/>
        <v>23548.2</v>
      </c>
    </row>
    <row r="108" spans="1:23" x14ac:dyDescent="0.3">
      <c r="A108" t="s">
        <v>313</v>
      </c>
      <c r="B108" t="s">
        <v>314</v>
      </c>
      <c r="C108">
        <v>2025</v>
      </c>
      <c r="D108">
        <v>64.67</v>
      </c>
      <c r="E108">
        <v>3.16</v>
      </c>
      <c r="F108">
        <v>23771</v>
      </c>
      <c r="G108">
        <v>312.24</v>
      </c>
      <c r="H108">
        <v>320.79000000000002</v>
      </c>
      <c r="I108">
        <v>4.2</v>
      </c>
      <c r="J108">
        <v>6.79</v>
      </c>
      <c r="K108">
        <v>-20.85</v>
      </c>
      <c r="L108">
        <v>-11.24</v>
      </c>
      <c r="M108">
        <v>2.08</v>
      </c>
      <c r="N108">
        <v>2.2200000000000002</v>
      </c>
      <c r="O108">
        <v>2.46</v>
      </c>
      <c r="P108" t="s">
        <v>49</v>
      </c>
      <c r="Q108" t="s">
        <v>315</v>
      </c>
      <c r="R108">
        <f t="shared" si="15"/>
        <v>3.16</v>
      </c>
      <c r="S108" t="str">
        <f t="shared" si="16"/>
        <v>US Universal Tariff Implementation &amp; Trade Policy Shifts</v>
      </c>
      <c r="T108" s="17">
        <f t="shared" si="17"/>
        <v>9.4614450361385494E-3</v>
      </c>
      <c r="U108" t="s">
        <v>222</v>
      </c>
      <c r="V108">
        <f t="shared" ca="1" si="18"/>
        <v>3.16</v>
      </c>
      <c r="W108">
        <f t="shared" ca="1" si="19"/>
        <v>23771</v>
      </c>
    </row>
    <row r="109" spans="1:23" x14ac:dyDescent="0.3">
      <c r="A109" t="s">
        <v>316</v>
      </c>
      <c r="B109" t="s">
        <v>317</v>
      </c>
      <c r="C109">
        <v>2025</v>
      </c>
      <c r="D109">
        <v>65.790000000000006</v>
      </c>
      <c r="E109">
        <v>3.15</v>
      </c>
      <c r="F109">
        <v>24026.799999999999</v>
      </c>
      <c r="G109">
        <v>314.38</v>
      </c>
      <c r="H109">
        <v>323.22000000000003</v>
      </c>
      <c r="I109">
        <v>4.33</v>
      </c>
      <c r="J109">
        <v>6.58</v>
      </c>
      <c r="K109">
        <v>-14</v>
      </c>
      <c r="L109">
        <v>-6.53</v>
      </c>
      <c r="M109">
        <v>2.33</v>
      </c>
      <c r="N109">
        <v>2.52</v>
      </c>
      <c r="O109">
        <v>2.9</v>
      </c>
      <c r="P109" t="s">
        <v>318</v>
      </c>
      <c r="Q109" t="s">
        <v>49</v>
      </c>
      <c r="R109">
        <f t="shared" si="15"/>
        <v>3.15</v>
      </c>
      <c r="S109" t="str">
        <f t="shared" si="16"/>
        <v xml:space="preserve">Strait of Hormuz Naval Standoff Threats, </v>
      </c>
      <c r="T109" s="17">
        <f t="shared" si="17"/>
        <v>1.0761011316309688E-2</v>
      </c>
      <c r="U109" t="s">
        <v>222</v>
      </c>
      <c r="V109">
        <f t="shared" ca="1" si="18"/>
        <v>3.15</v>
      </c>
      <c r="W109">
        <f t="shared" ca="1" si="19"/>
        <v>24026.799999999999</v>
      </c>
    </row>
    <row r="110" spans="1:23" x14ac:dyDescent="0.3">
      <c r="A110" t="s">
        <v>319</v>
      </c>
      <c r="B110" t="s">
        <v>320</v>
      </c>
      <c r="C110">
        <v>2025</v>
      </c>
      <c r="D110">
        <v>59.64</v>
      </c>
      <c r="E110">
        <v>3</v>
      </c>
      <c r="F110">
        <v>24055.7</v>
      </c>
      <c r="G110">
        <v>315.87</v>
      </c>
      <c r="H110">
        <v>325.11</v>
      </c>
      <c r="I110">
        <v>4.43</v>
      </c>
      <c r="J110">
        <v>6.23</v>
      </c>
      <c r="K110">
        <v>-15.7</v>
      </c>
      <c r="L110">
        <v>-2.2799999999999998</v>
      </c>
      <c r="M110">
        <v>1.99</v>
      </c>
      <c r="N110">
        <v>2.2599999999999998</v>
      </c>
      <c r="O110">
        <v>2.69</v>
      </c>
      <c r="P110" t="s">
        <v>49</v>
      </c>
      <c r="Q110" t="s">
        <v>49</v>
      </c>
      <c r="R110" t="e">
        <f t="shared" si="15"/>
        <v>#N/A</v>
      </c>
      <c r="S110" t="str">
        <f t="shared" si="16"/>
        <v/>
      </c>
      <c r="T110" s="17">
        <f t="shared" si="17"/>
        <v>1.2028235137431231E-3</v>
      </c>
      <c r="U110" t="s">
        <v>222</v>
      </c>
      <c r="V110">
        <f t="shared" ca="1" si="18"/>
        <v>3</v>
      </c>
      <c r="W110">
        <f t="shared" ca="1" si="19"/>
        <v>24055.7</v>
      </c>
    </row>
    <row r="111" spans="1:23" x14ac:dyDescent="0.3">
      <c r="A111" t="s">
        <v>321</v>
      </c>
      <c r="B111" t="s">
        <v>322</v>
      </c>
      <c r="C111">
        <v>2026</v>
      </c>
      <c r="D111">
        <v>71.94</v>
      </c>
      <c r="E111">
        <v>3.1</v>
      </c>
      <c r="F111">
        <v>24180.400000000001</v>
      </c>
      <c r="G111">
        <v>318.33999999999997</v>
      </c>
      <c r="H111">
        <v>328.16</v>
      </c>
      <c r="I111">
        <v>4.33</v>
      </c>
      <c r="J111">
        <v>6.11</v>
      </c>
      <c r="K111">
        <v>0.04</v>
      </c>
      <c r="L111">
        <v>0.32</v>
      </c>
      <c r="M111">
        <v>2.68</v>
      </c>
      <c r="N111">
        <v>2.2599999999999998</v>
      </c>
      <c r="O111">
        <v>2.72</v>
      </c>
      <c r="P111" t="s">
        <v>323</v>
      </c>
      <c r="Q111" t="s">
        <v>324</v>
      </c>
      <c r="R111">
        <f t="shared" si="15"/>
        <v>3.1</v>
      </c>
      <c r="S111" t="str">
        <f t="shared" si="16"/>
        <v>US-Iran Military Conflicts / Strait of Hormuz Closure Threats, US Maritime Escort Mandate &amp; Energy Emergency Authorization</v>
      </c>
      <c r="T111" s="17">
        <f t="shared" si="17"/>
        <v>5.1838025914856534E-3</v>
      </c>
      <c r="U111" t="s">
        <v>222</v>
      </c>
      <c r="V111">
        <f t="shared" ca="1" si="18"/>
        <v>3.1</v>
      </c>
      <c r="W111">
        <f t="shared" ca="1" si="19"/>
        <v>24180.400000000001</v>
      </c>
    </row>
    <row r="112" spans="1:23" x14ac:dyDescent="0.3">
      <c r="A112" t="s">
        <v>325</v>
      </c>
      <c r="B112" t="s">
        <v>326</v>
      </c>
      <c r="C112">
        <v>2026</v>
      </c>
      <c r="D112">
        <v>95.76</v>
      </c>
      <c r="E112">
        <v>4.21</v>
      </c>
      <c r="F112">
        <v>24270.6</v>
      </c>
      <c r="G112">
        <v>320.97000000000003</v>
      </c>
      <c r="H112">
        <v>332.97</v>
      </c>
      <c r="I112">
        <v>4.2699999999999996</v>
      </c>
      <c r="J112">
        <v>6.41</v>
      </c>
      <c r="K112">
        <v>48.07</v>
      </c>
      <c r="L112">
        <v>33.229999999999997</v>
      </c>
      <c r="M112">
        <v>2.1</v>
      </c>
      <c r="N112">
        <v>2.8</v>
      </c>
      <c r="O112">
        <v>3.8</v>
      </c>
      <c r="P112" t="s">
        <v>327</v>
      </c>
      <c r="Q112" t="s">
        <v>328</v>
      </c>
      <c r="R112">
        <f t="shared" si="15"/>
        <v>4.21</v>
      </c>
      <c r="S112" t="str">
        <f t="shared" si="16"/>
        <v>Strait of Hormuz Blockade / Global Crude Supply Shock, Emergency SPR Drawdown Order &amp; Strategic Oil Allocation</v>
      </c>
      <c r="T112" s="17">
        <f t="shared" si="17"/>
        <v>3.7302939570891258E-3</v>
      </c>
      <c r="U112" t="s">
        <v>222</v>
      </c>
      <c r="V112">
        <f t="shared" ca="1" si="18"/>
        <v>4.21</v>
      </c>
      <c r="W112">
        <f t="shared" ca="1" si="19"/>
        <v>24270.6</v>
      </c>
    </row>
    <row r="113" spans="1:23" x14ac:dyDescent="0.3">
      <c r="A113" t="s">
        <v>329</v>
      </c>
      <c r="B113" t="s">
        <v>330</v>
      </c>
      <c r="C113">
        <v>2026</v>
      </c>
      <c r="D113">
        <v>80.25</v>
      </c>
      <c r="E113">
        <v>3.95</v>
      </c>
      <c r="F113">
        <v>24270.6</v>
      </c>
      <c r="G113">
        <v>321.22000000000003</v>
      </c>
      <c r="H113">
        <v>332.81</v>
      </c>
      <c r="I113">
        <v>4.0999999999999996</v>
      </c>
      <c r="J113">
        <v>6.56</v>
      </c>
      <c r="K113">
        <v>21.98</v>
      </c>
      <c r="L113">
        <v>25.4</v>
      </c>
      <c r="M113">
        <v>1.01</v>
      </c>
      <c r="N113">
        <v>2.1800000000000002</v>
      </c>
      <c r="O113">
        <v>2.97</v>
      </c>
      <c r="P113" t="s">
        <v>49</v>
      </c>
      <c r="Q113" t="s">
        <v>49</v>
      </c>
      <c r="R113" t="e">
        <f t="shared" si="15"/>
        <v>#N/A</v>
      </c>
      <c r="S113" t="str">
        <f t="shared" si="16"/>
        <v/>
      </c>
      <c r="T113" s="17">
        <f t="shared" si="17"/>
        <v>0</v>
      </c>
      <c r="U113" t="s">
        <v>222</v>
      </c>
      <c r="V113">
        <f t="shared" ca="1" si="18"/>
        <v>3.95</v>
      </c>
      <c r="W113">
        <f t="shared" ca="1" si="19"/>
        <v>24270.6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Correlation_Matrix</vt:lpstr>
      <vt:lpstr>Quarterly_Macro_Data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Wong</cp:lastModifiedBy>
  <dcterms:created xsi:type="dcterms:W3CDTF">2026-08-17T04:47:53Z</dcterms:created>
  <dcterms:modified xsi:type="dcterms:W3CDTF">2026-08-17T15:33:48Z</dcterms:modified>
</cp:coreProperties>
</file>